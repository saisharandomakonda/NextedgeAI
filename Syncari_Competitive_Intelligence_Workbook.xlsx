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Overview" sheetId="1" state="visible" r:id="rId3"/>
    <sheet name="2. Competitive Matrix" sheetId="2" state="visible" r:id="rId4"/>
    <sheet name="3. Funding History" sheetId="3" state="visible" r:id="rId5"/>
    <sheet name="4. Pricing Comparison" sheetId="4" state="visible" r:id="rId6"/>
    <sheet name="5. Customer Tracker" sheetId="5" state="visible" r:id="rId7"/>
    <sheet name="6. Financial Triangulation" sheetId="6" state="visible" r:id="rId8"/>
    <sheet name="7. 18-Month Build Plan" sheetId="7" state="visible" r:id="rId9"/>
    <sheet name="8. Attack Surface" sheetId="8" state="visible" r:id="rId10"/>
    <sheet name="9. 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<sst xmlns="http://schemas.openxmlformats.org/spreadsheetml/2006/main" count="613" uniqueCount="506">
  <si>
    <t xml:space="preserve">Syncari Competitive Intelligence Workbook</t>
  </si>
  <si>
    <t xml:space="preserve">Strategic research package — Prepared April 2026 — Confidential</t>
  </si>
  <si>
    <t xml:space="preserve">Workbook Contents</t>
  </si>
  <si>
    <t xml:space="preserve">Tab</t>
  </si>
  <si>
    <t xml:space="preserve">Purpose</t>
  </si>
  <si>
    <t xml:space="preserve">Primary User</t>
  </si>
  <si>
    <t xml:space="preserve">1. Overview</t>
  </si>
  <si>
    <t xml:space="preserve">Workbook map and key findings snapshot</t>
  </si>
  <si>
    <t xml:space="preserve">All</t>
  </si>
  <si>
    <t xml:space="preserve">2. Competitive Matrix</t>
  </si>
  <si>
    <t xml:space="preserve">Side-by-side positioning of 15 MDM vendors</t>
  </si>
  <si>
    <t xml:space="preserve">Strategy, Product</t>
  </si>
  <si>
    <t xml:space="preserve">3. Funding History</t>
  </si>
  <si>
    <t xml:space="preserve">Syncari's capital raise timeline and investor map</t>
  </si>
  <si>
    <t xml:space="preserve">Finance, Fundraising</t>
  </si>
  <si>
    <t xml:space="preserve">4. Pricing Comparison</t>
  </si>
  <si>
    <t xml:space="preserve">Syncari tiers vs. competitor pricing</t>
  </si>
  <si>
    <t xml:space="preserve">Product Marketing, Sales</t>
  </si>
  <si>
    <t xml:space="preserve">5. Customer Tracker</t>
  </si>
  <si>
    <t xml:space="preserve">Identified Syncari customers and use cases</t>
  </si>
  <si>
    <t xml:space="preserve">Sales, Marketing</t>
  </si>
  <si>
    <t xml:space="preserve">6. Financial Triangulation</t>
  </si>
  <si>
    <t xml:space="preserve">Revenue, burn, and unit economics estimates</t>
  </si>
  <si>
    <t xml:space="preserve">Finance, Strategy</t>
  </si>
  <si>
    <t xml:space="preserve">7. 18-Month Build Plan</t>
  </si>
  <si>
    <t xml:space="preserve">Milestone plan to build a credible challenger</t>
  </si>
  <si>
    <t xml:space="preserve">Founders, Investors</t>
  </si>
  <si>
    <t xml:space="preserve">8. Attack Surface</t>
  </si>
  <si>
    <t xml:space="preserve">Ranked opportunities to disrupt Syncari</t>
  </si>
  <si>
    <t xml:space="preserve">Strategy, GTM</t>
  </si>
  <si>
    <t xml:space="preserve">9. Sources</t>
  </si>
  <si>
    <t xml:space="preserve">Full bibliography and methodology</t>
  </si>
  <si>
    <t xml:space="preserve">Top-Line Findings</t>
  </si>
  <si>
    <t xml:space="preserve">Metric</t>
  </si>
  <si>
    <t xml:space="preserve">Value</t>
  </si>
  <si>
    <t xml:space="preserve">Notes</t>
  </si>
  <si>
    <t xml:space="preserve">Founded</t>
  </si>
  <si>
    <t xml:space="preserve">2019</t>
  </si>
  <si>
    <t xml:space="preserve">Nick Bonfiglio (CEO) and Neelesh Shastry (CTO)</t>
  </si>
  <si>
    <t xml:space="preserve">HQ</t>
  </si>
  <si>
    <t xml:space="preserve">Newark, California</t>
  </si>
  <si>
    <t xml:space="preserve">San Francisco Bay Area</t>
  </si>
  <si>
    <t xml:space="preserve">Total capital raised (USD)</t>
  </si>
  <si>
    <t xml:space="preserve">Across Seed, Series A, Series B</t>
  </si>
  <si>
    <t xml:space="preserve">Last round</t>
  </si>
  <si>
    <t xml:space="preserve">Series B — Sept 2025</t>
  </si>
  <si>
    <t xml:space="preserve">Led by Escape Venture Investing</t>
  </si>
  <si>
    <t xml:space="preserve">Estimated 2026 ARR (USD)</t>
  </si>
  <si>
    <t xml:space="preserve">12M to 20M</t>
  </si>
  <si>
    <t xml:space="preserve">Triangulated; not company-confirmed</t>
  </si>
  <si>
    <t xml:space="preserve">Estimated headcount</t>
  </si>
  <si>
    <t xml:space="preserve">65 to 75</t>
  </si>
  <si>
    <t xml:space="preserve">Up from 37 in 2024</t>
  </si>
  <si>
    <t xml:space="preserve">Gartner 2026 MQ position</t>
  </si>
  <si>
    <t xml:space="preserve">Visionary</t>
  </si>
  <si>
    <t xml:space="preserve">April 6, 2026</t>
  </si>
  <si>
    <t xml:space="preserve">Primary category</t>
  </si>
  <si>
    <t xml:space="preserve">Agentic MDM</t>
  </si>
  <si>
    <t xml:space="preserve">Self-defined category</t>
  </si>
  <si>
    <t xml:space="preserve">Pricing (Starter / Growth)</t>
  </si>
  <si>
    <t xml:space="preserve">$2,995 / $4,995 per month</t>
  </si>
  <si>
    <t xml:space="preserve">Enterprise: custom 50K-250K+ ACV</t>
  </si>
  <si>
    <t xml:space="preserve">Named Fortune 1000 customers</t>
  </si>
  <si>
    <t xml:space="preserve">8 identified</t>
  </si>
  <si>
    <t xml:space="preserve">Monotype, GoTo, Trimble, Yardi, Antech, etc.</t>
  </si>
  <si>
    <t xml:space="preserve">Estimated total customer count</t>
  </si>
  <si>
    <t xml:space="preserve">100 to 180</t>
  </si>
  <si>
    <t xml:space="preserve">Inferred from team size and Series B stage</t>
  </si>
  <si>
    <t xml:space="preserve">Recommended challenger wedge</t>
  </si>
  <si>
    <t xml:space="preserve">Vertical (healthcare / FS) OR open-core developer-first</t>
  </si>
  <si>
    <t xml:space="preserve">See Tab 7 and 8</t>
  </si>
  <si>
    <t xml:space="preserve">Estimated capital required to compete</t>
  </si>
  <si>
    <t xml:space="preserve">$15M to $20M to 18 months; $40M to $55M to parity</t>
  </si>
  <si>
    <t xml:space="preserve">Lower than industry norm</t>
  </si>
  <si>
    <t xml:space="preserve">MDM Competitive Matrix — 15 Vendors</t>
  </si>
  <si>
    <t xml:space="preserve">Sources: Gartner 2026 MQ, G2, TrustRadius, company websites</t>
  </si>
  <si>
    <t xml:space="preserve">Vendor</t>
  </si>
  <si>
    <t xml:space="preserve">Ownership</t>
  </si>
  <si>
    <t xml:space="preserve">Gartner 2026</t>
  </si>
  <si>
    <t xml:space="preserve">Primary Segment</t>
  </si>
  <si>
    <t xml:space="preserve">Strength (Horizon)</t>
  </si>
  <si>
    <t xml:space="preserve">Key Weakness</t>
  </si>
  <si>
    <t xml:space="preserve">Est. Starting ACV (USD)</t>
  </si>
  <si>
    <t xml:space="preserve">Deployment</t>
  </si>
  <si>
    <t xml:space="preserve">Threat to Challenger (1-10)</t>
  </si>
  <si>
    <t xml:space="preserve">Informatica</t>
  </si>
  <si>
    <t xml:space="preserve">Salesforce (acq. May 2025, $8B)</t>
  </si>
  <si>
    <t xml:space="preserve">Leader</t>
  </si>
  <si>
    <t xml:space="preserve">Enterprise, all domains</t>
  </si>
  <si>
    <t xml:space="preserve">Breadth; 300+ connectors; SFDC integration post-acq</t>
  </si>
  <si>
    <t xml:space="preserve">Legacy perception; integration turbulence</t>
  </si>
  <si>
    <t xml:space="preserve">Cloud + On-prem</t>
  </si>
  <si>
    <t xml:space="preserve">Reltio</t>
  </si>
  <si>
    <t xml:space="preserve">Private (VC-backed, Crosspoint, Sapphire)</t>
  </si>
  <si>
    <t xml:space="preserve">Cloud-native MDM, life sciences</t>
  </si>
  <si>
    <t xml:space="preserve">Cloud-native architecture; life sciences depth</t>
  </si>
  <si>
    <t xml:space="preserve">Multi-domain complexity</t>
  </si>
  <si>
    <t xml:space="preserve">Cloud</t>
  </si>
  <si>
    <t xml:space="preserve">Stibo Systems</t>
  </si>
  <si>
    <t xml:space="preserve">Private equity (Nordic Capital)</t>
  </si>
  <si>
    <t xml:space="preserve">PIM/product data</t>
  </si>
  <si>
    <t xml:space="preserve">PIM dominance; multi-domain</t>
  </si>
  <si>
    <t xml:space="preserve">Less cloud-native; heavy implementation</t>
  </si>
  <si>
    <t xml:space="preserve">Profisee</t>
  </si>
  <si>
    <t xml:space="preserve">Private (Pamlico Capital)</t>
  </si>
  <si>
    <t xml:space="preserve">Mid-market, Microsoft-aligned</t>
  </si>
  <si>
    <t xml:space="preserve">Microsoft ecosystem; mid-market fit</t>
  </si>
  <si>
    <t xml:space="preserve">Limited outside Microsoft</t>
  </si>
  <si>
    <t xml:space="preserve">Cloud + Azure</t>
  </si>
  <si>
    <t xml:space="preserve">Ataccama</t>
  </si>
  <si>
    <t xml:space="preserve">Bain Capital</t>
  </si>
  <si>
    <t xml:space="preserve">Data quality + MDM</t>
  </si>
  <si>
    <t xml:space="preserve">Data quality strength; AI-enabled</t>
  </si>
  <si>
    <t xml:space="preserve">MDM-second positioning</t>
  </si>
  <si>
    <t xml:space="preserve">IBM</t>
  </si>
  <si>
    <t xml:space="preserve">Challenger</t>
  </si>
  <si>
    <t xml:space="preserve">Enterprise legacy</t>
  </si>
  <si>
    <t xml:space="preserve">Brand; enterprise relationships</t>
  </si>
  <si>
    <t xml:space="preserve">Aging stack; expensive</t>
  </si>
  <si>
    <t xml:space="preserve">Semarchy</t>
  </si>
  <si>
    <t xml:space="preserve">Private</t>
  </si>
  <si>
    <t xml:space="preserve">Agile MDM, mid-market</t>
  </si>
  <si>
    <t xml:space="preserve">Fast deployment; flexible data model</t>
  </si>
  <si>
    <t xml:space="preserve">Limited brand; smaller scale</t>
  </si>
  <si>
    <t xml:space="preserve">Syndigo (Riversand)</t>
  </si>
  <si>
    <t xml:space="preserve">Private equity</t>
  </si>
  <si>
    <t xml:space="preserve">Retail/product data</t>
  </si>
  <si>
    <t xml:space="preserve">Syndication + product data</t>
  </si>
  <si>
    <t xml:space="preserve">Narrow horizontal scope</t>
  </si>
  <si>
    <t xml:space="preserve">Pimcore</t>
  </si>
  <si>
    <t xml:space="preserve">Private (open source)</t>
  </si>
  <si>
    <t xml:space="preserve">Niche</t>
  </si>
  <si>
    <t xml:space="preserve">PIM/DAM open source</t>
  </si>
  <si>
    <t xml:space="preserve">Open source + community</t>
  </si>
  <si>
    <t xml:space="preserve">Limited multi-domain MDM depth</t>
  </si>
  <si>
    <t xml:space="preserve">Self-hosted + Cloud</t>
  </si>
  <si>
    <t xml:space="preserve">PiLog</t>
  </si>
  <si>
    <t xml:space="preserve">Industrial / material master</t>
  </si>
  <si>
    <t xml:space="preserve">Industrial data expertise</t>
  </si>
  <si>
    <t xml:space="preserve">Narrow vertical</t>
  </si>
  <si>
    <t xml:space="preserve">Precisely</t>
  </si>
  <si>
    <t xml:space="preserve">Data integrity + location</t>
  </si>
  <si>
    <t xml:space="preserve">Location/address data strength</t>
  </si>
  <si>
    <t xml:space="preserve">Narrow MDM focus</t>
  </si>
  <si>
    <t xml:space="preserve">Boomi</t>
  </si>
  <si>
    <t xml:space="preserve">Francisco Partners + TPG</t>
  </si>
  <si>
    <t xml:space="preserve">iPaaS + MDM module</t>
  </si>
  <si>
    <t xml:space="preserve">Integration breadth; channel</t>
  </si>
  <si>
    <t xml:space="preserve">MDM is secondary product</t>
  </si>
  <si>
    <t xml:space="preserve">TIBCO</t>
  </si>
  <si>
    <t xml:space="preserve">Cloud Software Group</t>
  </si>
  <si>
    <t xml:space="preserve">Data management suite</t>
  </si>
  <si>
    <t xml:space="preserve">Breadth of data portfolio</t>
  </si>
  <si>
    <t xml:space="preserve">Legacy perception</t>
  </si>
  <si>
    <t xml:space="preserve">Syncari</t>
  </si>
  <si>
    <t xml:space="preserve">Independent VC-backed</t>
  </si>
  <si>
    <t xml:space="preserve">Real-time agentic MDM</t>
  </si>
  <si>
    <t xml:space="preserve">Real-time stateful sync; agent/MCP-ready; no-code UX</t>
  </si>
  <si>
    <t xml:space="preserve">Thin capital; narrow vertical coverage</t>
  </si>
  <si>
    <t xml:space="preserve">Cloud (AWS/GCP)</t>
  </si>
  <si>
    <t xml:space="preserve">Tamr</t>
  </si>
  <si>
    <t xml:space="preserve">Not MQ'd 2026</t>
  </si>
  <si>
    <t xml:space="preserve">ML-driven matching</t>
  </si>
  <si>
    <t xml:space="preserve">Probabilistic matching; deep ML</t>
  </si>
  <si>
    <t xml:space="preserve">Narrow DQ/matching focus</t>
  </si>
  <si>
    <t xml:space="preserve">Summary Statistics</t>
  </si>
  <si>
    <t xml:space="preserve">Median starting ACV (USD)</t>
  </si>
  <si>
    <t xml:space="preserve">Average starting ACV (USD)</t>
  </si>
  <si>
    <t xml:space="preserve">Average threat score to challenger</t>
  </si>
  <si>
    <t xml:space="preserve">Syncari Funding History</t>
  </si>
  <si>
    <t xml:space="preserve">Sources: Crunchbase, Tracxn, Pitchbook, CBInsights, TheSaaSNews, Syncari press releases</t>
  </si>
  <si>
    <t xml:space="preserve">Round</t>
  </si>
  <si>
    <t xml:space="preserve">Date</t>
  </si>
  <si>
    <t xml:space="preserve">Amount (USD)</t>
  </si>
  <si>
    <t xml:space="preserve">Lead Investor</t>
  </si>
  <si>
    <t xml:space="preserve">Participating Investors</t>
  </si>
  <si>
    <t xml:space="preserve">Post-Money Valuation (Est. USD)</t>
  </si>
  <si>
    <t xml:space="preserve">Cumulative Raised (USD)</t>
  </si>
  <si>
    <t xml:space="preserve">Seed</t>
  </si>
  <si>
    <t xml:space="preserve">Jun 2020</t>
  </si>
  <si>
    <t xml:space="preserve">SignalFire</t>
  </si>
  <si>
    <t xml:space="preserve">NextGen Venture Partners</t>
  </si>
  <si>
    <t xml:space="preserve">Series A</t>
  </si>
  <si>
    <t xml:space="preserve">May 2021</t>
  </si>
  <si>
    <t xml:space="preserve">Crosslink Capital</t>
  </si>
  <si>
    <t xml:space="preserve">Animo, NextGen Venture Partners, SignalFire, DIG Ventures</t>
  </si>
  <si>
    <t xml:space="preserve">Bridge/Extension</t>
  </si>
  <si>
    <t xml:space="preserve">2023-2024</t>
  </si>
  <si>
    <t xml:space="preserve">Insider round (estimated)</t>
  </si>
  <si>
    <t xml:space="preserve">Existing investors</t>
  </si>
  <si>
    <t xml:space="preserve">Series B</t>
  </si>
  <si>
    <t xml:space="preserve">Sep 2025</t>
  </si>
  <si>
    <t xml:space="preserve">Escape Venture Investing</t>
  </si>
  <si>
    <t xml:space="preserve">Existing investors (est.)</t>
  </si>
  <si>
    <t xml:space="preserve">Totals</t>
  </si>
  <si>
    <t xml:space="preserve">Investor Map</t>
  </si>
  <si>
    <t xml:space="preserve">Investor</t>
  </si>
  <si>
    <t xml:space="preserve">Role</t>
  </si>
  <si>
    <t xml:space="preserve">First Participation</t>
  </si>
  <si>
    <t xml:space="preserve">Strategic Value</t>
  </si>
  <si>
    <t xml:space="preserve">Lead — Seed</t>
  </si>
  <si>
    <t xml:space="preserve">Data-driven sourcing; early-stage conviction</t>
  </si>
  <si>
    <t xml:space="preserve">Lead — Series A</t>
  </si>
  <si>
    <t xml:space="preserve">Enterprise SaaS expertise; board seat</t>
  </si>
  <si>
    <t xml:space="preserve">DIG Ventures</t>
  </si>
  <si>
    <t xml:space="preserve">Participant — Series A</t>
  </si>
  <si>
    <t xml:space="preserve">European reach; enterprise software</t>
  </si>
  <si>
    <t xml:space="preserve">Seed + Series A</t>
  </si>
  <si>
    <t xml:space="preserve">Founder/operator angel network</t>
  </si>
  <si>
    <t xml:space="preserve">Animo Ventures</t>
  </si>
  <si>
    <t xml:space="preserve">Marketing and growth expertise</t>
  </si>
  <si>
    <t xml:space="preserve">Lead — Series B</t>
  </si>
  <si>
    <t xml:space="preserve">Growth capital; M&amp;A advisory</t>
  </si>
  <si>
    <t xml:space="preserve">Syncari vs. Competitor Pricing</t>
  </si>
  <si>
    <t xml:space="preserve">Published and estimated pricing; real deal pricing varies significantly</t>
  </si>
  <si>
    <t xml:space="preserve">Entry Tier</t>
  </si>
  <si>
    <t xml:space="preserve">Mid Tier</t>
  </si>
  <si>
    <t xml:space="preserve">Enterprise (Est. ACV USD)</t>
  </si>
  <si>
    <t xml:space="preserve">Pricing Model</t>
  </si>
  <si>
    <t xml:space="preserve">Discount Flexibility</t>
  </si>
  <si>
    <t xml:space="preserve">Free Trial</t>
  </si>
  <si>
    <t xml:space="preserve">$2,995/mo</t>
  </si>
  <si>
    <t xml:space="preserve">$4,995/mo</t>
  </si>
  <si>
    <t xml:space="preserve">Per persisted record</t>
  </si>
  <si>
    <t xml:space="preserve">20-35% typical</t>
  </si>
  <si>
    <t xml:space="preserve">Yes</t>
  </si>
  <si>
    <t xml:space="preserve">Custom (high 5-fig)</t>
  </si>
  <si>
    <t xml:space="preserve">Custom</t>
  </si>
  <si>
    <t xml:space="preserve">Processing units / consumption</t>
  </si>
  <si>
    <t xml:space="preserve">10-20%</t>
  </si>
  <si>
    <t xml:space="preserve">Limited</t>
  </si>
  <si>
    <t xml:space="preserve">Per record / entity</t>
  </si>
  <si>
    <t xml:space="preserve">10-25%</t>
  </si>
  <si>
    <t xml:space="preserve">Demo only</t>
  </si>
  <si>
    <t xml:space="preserve">~$2,000/mo equivalent</t>
  </si>
  <si>
    <t xml:space="preserve">~$6,000/mo</t>
  </si>
  <si>
    <t xml:space="preserve">Per record / per subject</t>
  </si>
  <si>
    <t xml:space="preserve">15-30%</t>
  </si>
  <si>
    <t xml:space="preserve">Capacity-based + modules</t>
  </si>
  <si>
    <t xml:space="preserve">Moderate entry</t>
  </si>
  <si>
    <t xml:space="preserve">Moderate</t>
  </si>
  <si>
    <t xml:space="preserve">Core + domain modules</t>
  </si>
  <si>
    <t xml:space="preserve">15-25%</t>
  </si>
  <si>
    <t xml:space="preserve">Boomi (MDM)</t>
  </si>
  <si>
    <t xml:space="preserve">Bundled w/ iPaaS</t>
  </si>
  <si>
    <t xml:space="preserve">Bundled</t>
  </si>
  <si>
    <t xml:space="preserve">Connections + MDM add-on</t>
  </si>
  <si>
    <t xml:space="preserve">20-30%</t>
  </si>
  <si>
    <t xml:space="preserve">High entry</t>
  </si>
  <si>
    <t xml:space="preserve">High</t>
  </si>
  <si>
    <t xml:space="preserve">Per domain + users</t>
  </si>
  <si>
    <t xml:space="preserve">Demo</t>
  </si>
  <si>
    <t xml:space="preserve">Per dataset + users</t>
  </si>
  <si>
    <t xml:space="preserve">Build-in-house (dbt + Snowflake)</t>
  </si>
  <si>
    <t xml:space="preserve">$0 software</t>
  </si>
  <si>
    <t xml:space="preserve">$5K-$20K infra/mo</t>
  </si>
  <si>
    <t xml:space="preserve">Infra + FTE cost</t>
  </si>
  <si>
    <t xml:space="preserve">N/A</t>
  </si>
  <si>
    <t xml:space="preserve">Syncari Discount &amp; Contract Intelligence (from Vendr marketplace)</t>
  </si>
  <si>
    <t xml:space="preserve">Lever</t>
  </si>
  <si>
    <t xml:space="preserve">Typical Range</t>
  </si>
  <si>
    <t xml:space="preserve">Source</t>
  </si>
  <si>
    <t xml:space="preserve">Typical first-year discount</t>
  </si>
  <si>
    <t xml:space="preserve">20-35%</t>
  </si>
  <si>
    <t xml:space="preserve">Source: Vendr marketplace reports</t>
  </si>
  <si>
    <t xml:space="preserve">End-of-quarter additional leverage</t>
  </si>
  <si>
    <t xml:space="preserve">5-10%</t>
  </si>
  <si>
    <t xml:space="preserve">Source: Vendr buyer reports</t>
  </si>
  <si>
    <t xml:space="preserve">Renewal cap negotiated</t>
  </si>
  <si>
    <t xml:space="preserve">5-7%</t>
  </si>
  <si>
    <t xml:space="preserve">Net payment terms</t>
  </si>
  <si>
    <t xml:space="preserve">Net 45 standard; Net 60 negotiable</t>
  </si>
  <si>
    <t xml:space="preserve">Multi-year commitment discount</t>
  </si>
  <si>
    <t xml:space="preserve">10-15%</t>
  </si>
  <si>
    <t xml:space="preserve">Source: Benchmark SaaS</t>
  </si>
  <si>
    <t xml:space="preserve">Services/support waiver at renewal</t>
  </si>
  <si>
    <t xml:space="preserve">Common</t>
  </si>
  <si>
    <t xml:space="preserve">Identified Syncari Customers</t>
  </si>
  <si>
    <t xml:space="preserve">Sources: Syncari case studies, press releases, customer quotes</t>
  </si>
  <si>
    <t xml:space="preserve">Customer</t>
  </si>
  <si>
    <t xml:space="preserve">Industry</t>
  </si>
  <si>
    <t xml:space="preserve">Size (Est.)</t>
  </si>
  <si>
    <t xml:space="preserve">Primary Use Case</t>
  </si>
  <si>
    <t xml:space="preserve">Referenceable</t>
  </si>
  <si>
    <t xml:space="preserve">Source / Case Study URL</t>
  </si>
  <si>
    <t xml:space="preserve">Monotype</t>
  </si>
  <si>
    <t xml:space="preserve">Design / typography software</t>
  </si>
  <si>
    <t xml:space="preserve">Mid-market (~1,000)</t>
  </si>
  <si>
    <t xml:space="preserve">Multi-SFDC unification, AI-ready data</t>
  </si>
  <si>
    <t xml:space="preserve">Syncari Series B press release, Sep 2025</t>
  </si>
  <si>
    <t xml:space="preserve">GoTo</t>
  </si>
  <si>
    <t xml:space="preserve">Communications / IT software</t>
  </si>
  <si>
    <t xml:space="preserve">Enterprise (~3,500)</t>
  </si>
  <si>
    <t xml:space="preserve">RevOps data model, partner data</t>
  </si>
  <si>
    <t xml:space="preserve">Syncari case study / homepage quote</t>
  </si>
  <si>
    <t xml:space="preserve">Impartner</t>
  </si>
  <si>
    <t xml:space="preserve">PRM software</t>
  </si>
  <si>
    <t xml:space="preserve">Mid-market</t>
  </si>
  <si>
    <t xml:space="preserve">Embedded integration layer for their customers</t>
  </si>
  <si>
    <t xml:space="preserve">syncari.com/customers/impartner</t>
  </si>
  <si>
    <t xml:space="preserve">Trimble</t>
  </si>
  <si>
    <t xml:space="preserve">Industrial technology</t>
  </si>
  <si>
    <t xml:space="preserve">Enterprise (~11,000)</t>
  </si>
  <si>
    <t xml:space="preserve">Multi-domain enterprise MDM</t>
  </si>
  <si>
    <t xml:space="preserve">Mentioned</t>
  </si>
  <si>
    <t xml:space="preserve">Syncari Series B press release</t>
  </si>
  <si>
    <t xml:space="preserve">Yardi</t>
  </si>
  <si>
    <t xml:space="preserve">Real estate software</t>
  </si>
  <si>
    <t xml:space="preserve">Enterprise (~8,000)</t>
  </si>
  <si>
    <t xml:space="preserve">Enterprise data unification</t>
  </si>
  <si>
    <t xml:space="preserve">Antech Diagnostics (Mars)</t>
  </si>
  <si>
    <t xml:space="preserve">Veterinary diagnostics</t>
  </si>
  <si>
    <t xml:space="preserve">Enterprise</t>
  </si>
  <si>
    <t xml:space="preserve">Enterprise MDM and governance</t>
  </si>
  <si>
    <t xml:space="preserve">Eakes</t>
  </si>
  <si>
    <t xml:space="preserve">Office products/services</t>
  </si>
  <si>
    <t xml:space="preserve">Unified customer view in six weeks</t>
  </si>
  <si>
    <t xml:space="preserve">Syncari case study</t>
  </si>
  <si>
    <t xml:space="preserve">Quarq (SRAM)</t>
  </si>
  <si>
    <t xml:space="preserve">Cycling components</t>
  </si>
  <si>
    <t xml:space="preserve">Agentic MDM deployment</t>
  </si>
  <si>
    <t xml:space="preserve">Syncari press release</t>
  </si>
  <si>
    <t xml:space="preserve">Common Patterns Across Customers</t>
  </si>
  <si>
    <t xml:space="preserve">Pattern</t>
  </si>
  <si>
    <t xml:space="preserve">Frequency</t>
  </si>
  <si>
    <t xml:space="preserve">Implication</t>
  </si>
  <si>
    <t xml:space="preserve">Multi-Salesforce instances (post-M&amp;A)</t>
  </si>
  <si>
    <t xml:space="preserve">Target M&amp;A-heavy acquirers; RevOps teams</t>
  </si>
  <si>
    <t xml:space="preserve">B2B software or B2B tech-enabled services</t>
  </si>
  <si>
    <t xml:space="preserve">Very High</t>
  </si>
  <si>
    <t xml:space="preserve">ICP is B2B, not B2C</t>
  </si>
  <si>
    <t xml:space="preserve">Marketo + Zuora + Snowflake stack</t>
  </si>
  <si>
    <t xml:space="preserve">Stack signature for prospecting</t>
  </si>
  <si>
    <t xml:space="preserve">Mid-market to upper enterprise size</t>
  </si>
  <si>
    <t xml:space="preserve">Not SMB; not Fortune 100</t>
  </si>
  <si>
    <t xml:space="preserve">North American HQ</t>
  </si>
  <si>
    <t xml:space="preserve">EMEA and APAC are open opportunity</t>
  </si>
  <si>
    <t xml:space="preserve">RevOps or Data Ops sponsor</t>
  </si>
  <si>
    <t xml:space="preserve">Primary buyer persona</t>
  </si>
  <si>
    <t xml:space="preserve">Syncari Revenue, Burn and Unit Economics — Triangulation Model</t>
  </si>
  <si>
    <t xml:space="preserve">Blue = hardcoded assumption; Black = formula; Yellow = key assumption to stress-test</t>
  </si>
  <si>
    <t xml:space="preserve">NOTE: All figures except Latka 2024 base are analyst triangulations, not confirmed.</t>
  </si>
  <si>
    <t xml:space="preserve">Key Assumptions</t>
  </si>
  <si>
    <t xml:space="preserve">2024 ARR baseline (USD)</t>
  </si>
  <si>
    <t xml:space="preserve">Source: Latka database, 2024</t>
  </si>
  <si>
    <t xml:space="preserve">2025 YoY growth rate</t>
  </si>
  <si>
    <t xml:space="preserve">200% — reflects Fortune 1000 additions</t>
  </si>
  <si>
    <t xml:space="preserve">2026 YoY growth rate (projected)</t>
  </si>
  <si>
    <t xml:space="preserve">125% — Series B scaling phase</t>
  </si>
  <si>
    <t xml:space="preserve">Gross margin (assumed)</t>
  </si>
  <si>
    <t xml:space="preserve">Typical Series B SaaS</t>
  </si>
  <si>
    <t xml:space="preserve">S&amp;M as % of revenue</t>
  </si>
  <si>
    <t xml:space="preserve">Series B growth mode</t>
  </si>
  <si>
    <t xml:space="preserve">R&amp;D as % of revenue</t>
  </si>
  <si>
    <t xml:space="preserve">G&amp;A as % of revenue</t>
  </si>
  <si>
    <t xml:space="preserve">Projected P&amp;L (USD)</t>
  </si>
  <si>
    <t xml:space="preserve">Line Item</t>
  </si>
  <si>
    <t xml:space="preserve">2023A</t>
  </si>
  <si>
    <t xml:space="preserve">2024A</t>
  </si>
  <si>
    <t xml:space="preserve">2025E</t>
  </si>
  <si>
    <t xml:space="preserve">2026E</t>
  </si>
  <si>
    <t xml:space="preserve">2027E</t>
  </si>
  <si>
    <t xml:space="preserve">Revenue</t>
  </si>
  <si>
    <t xml:space="preserve">Gross Profit</t>
  </si>
  <si>
    <t xml:space="preserve">Gross Margin %</t>
  </si>
  <si>
    <t xml:space="preserve">S&amp;M Expense</t>
  </si>
  <si>
    <t xml:space="preserve">R&amp;D Expense</t>
  </si>
  <si>
    <t xml:space="preserve">G&amp;A Expense</t>
  </si>
  <si>
    <t xml:space="preserve">Total OpEx</t>
  </si>
  <si>
    <t xml:space="preserve">EBITDA</t>
  </si>
  <si>
    <t xml:space="preserve">Cumulative Capital Consumed (Estimated, USD)</t>
  </si>
  <si>
    <t xml:space="preserve">Cumulative EBITDA 2023-2027</t>
  </si>
  <si>
    <t xml:space="preserve">Capital raised to date (USD)</t>
  </si>
  <si>
    <t xml:space="preserve">Implied additional capital required (USD)</t>
  </si>
  <si>
    <t xml:space="preserve">Challenger 18-Month Build Plan</t>
  </si>
  <si>
    <t xml:space="preserve">Capital, headcount, and milestone commitment to build a credible Syncari competitor</t>
  </si>
  <si>
    <t xml:space="preserve">Month</t>
  </si>
  <si>
    <t xml:space="preserve">Phase</t>
  </si>
  <si>
    <t xml:space="preserve">Milestone</t>
  </si>
  <si>
    <t xml:space="preserve">Headcount</t>
  </si>
  <si>
    <t xml:space="preserve">Cumulative Headcount</t>
  </si>
  <si>
    <t xml:space="preserve">Monthly Burn (USD)</t>
  </si>
  <si>
    <t xml:space="preserve">Cumulative Burn (USD)</t>
  </si>
  <si>
    <t xml:space="preserve">Capital Required (USD)</t>
  </si>
  <si>
    <t xml:space="preserve">Formation</t>
  </si>
  <si>
    <t xml:space="preserve">Incorporation; team of 6 founding engineers + 2 biz</t>
  </si>
  <si>
    <t xml:space="preserve">Alpha</t>
  </si>
  <si>
    <t xml:space="preserve">Architectural spike; core sync engine alpha</t>
  </si>
  <si>
    <t xml:space="preserve">Closed Beta</t>
  </si>
  <si>
    <t xml:space="preserve">3-5 design partners on closed beta</t>
  </si>
  <si>
    <t xml:space="preserve">Public Launch</t>
  </si>
  <si>
    <t xml:space="preserve">Open-source core + paid cloud beta released</t>
  </si>
  <si>
    <t xml:space="preserve">First Customers</t>
  </si>
  <si>
    <t xml:space="preserve">10 paying customers; first vertical pack</t>
  </si>
  <si>
    <t xml:space="preserve">Expansion</t>
  </si>
  <si>
    <t xml:space="preserve">20 paying customers; SI partnership 1 signed</t>
  </si>
  <si>
    <t xml:space="preserve">Series A Close</t>
  </si>
  <si>
    <t xml:space="preserve">25+ customers; Series A closed ($20M-$30M)</t>
  </si>
  <si>
    <t xml:space="preserve">Total capital required to 18 months (with 20% buffer):</t>
  </si>
  <si>
    <t xml:space="preserve">Recommended Funding Schedule</t>
  </si>
  <si>
    <t xml:space="preserve">Pre-seed</t>
  </si>
  <si>
    <t xml:space="preserve">Founders + angels + pre-seed fund</t>
  </si>
  <si>
    <t xml:space="preserve">Lead fund + existing angels; 18mo runway</t>
  </si>
  <si>
    <t xml:space="preserve">Tier-1 institutional lead; 24-month runway</t>
  </si>
  <si>
    <t xml:space="preserve">Growth stage; scale go-to-market</t>
  </si>
  <si>
    <t xml:space="preserve">Ranked Attack Surface: Ways to Disrupt Syncari</t>
  </si>
  <si>
    <t xml:space="preserve">Scored on a 1-10 scale with weightings applied</t>
  </si>
  <si>
    <t xml:space="preserve">Attack Vector</t>
  </si>
  <si>
    <t xml:space="preserve">Market TAM (Est. USD B)</t>
  </si>
  <si>
    <t xml:space="preserve">Syncari Weakness (1-10)</t>
  </si>
  <si>
    <t xml:space="preserve">Time to MVP (months)</t>
  </si>
  <si>
    <t xml:space="preserve">Capital Required (USD M)</t>
  </si>
  <si>
    <t xml:space="preserve">Weighted Score</t>
  </si>
  <si>
    <t xml:space="preserve">Vertical healthcare MDM (provider/payer)</t>
  </si>
  <si>
    <t xml:space="preserve">Vertical financial services MDM</t>
  </si>
  <si>
    <t xml:space="preserve">Developer-first open-core MDM</t>
  </si>
  <si>
    <t xml:space="preserve">EMEA-headquartered GDPR-first MDM</t>
  </si>
  <si>
    <t xml:space="preserve">SI-channel-led enterprise MDM</t>
  </si>
  <si>
    <t xml:space="preserve">Unified PIM + MDM play</t>
  </si>
  <si>
    <t xml:space="preserve">FedRAMP-first federal MDM</t>
  </si>
  <si>
    <t xml:space="preserve">B2C-focused agentic MDM</t>
  </si>
  <si>
    <t xml:space="preserve">Direct head-on MDM clone</t>
  </si>
  <si>
    <t xml:space="preserve">Vertical manufacturing MDM</t>
  </si>
  <si>
    <t xml:space="preserve">Higher Weighted Score = more attractive. Formula rewards large TAM and weakness; penalizes time and (square root of) capital.</t>
  </si>
  <si>
    <t xml:space="preserve">Sources and Methodology</t>
  </si>
  <si>
    <t xml:space="preserve">All sources are publicly available; no confidential information used</t>
  </si>
  <si>
    <t xml:space="preserve">Category</t>
  </si>
  <si>
    <t xml:space="preserve">URL / Reference</t>
  </si>
  <si>
    <t xml:space="preserve">Company Website</t>
  </si>
  <si>
    <t xml:space="preserve">Syncari home and product pages</t>
  </si>
  <si>
    <t xml:space="preserve">syncari.com</t>
  </si>
  <si>
    <t xml:space="preserve">Syncari pricing page</t>
  </si>
  <si>
    <t xml:space="preserve">syncari.com/pricing</t>
  </si>
  <si>
    <t xml:space="preserve">Syncari customers page</t>
  </si>
  <si>
    <t xml:space="preserve">syncari.com/customers</t>
  </si>
  <si>
    <t xml:space="preserve">Syncari about us page</t>
  </si>
  <si>
    <t xml:space="preserve">syncari.com/aboutus</t>
  </si>
  <si>
    <t xml:space="preserve">Syncari press release archive</t>
  </si>
  <si>
    <t xml:space="preserve">syncari.com/resources/press</t>
  </si>
  <si>
    <t xml:space="preserve">Syncari blog</t>
  </si>
  <si>
    <t xml:space="preserve">syncari.com/blog</t>
  </si>
  <si>
    <t xml:space="preserve">Funding Data</t>
  </si>
  <si>
    <t xml:space="preserve">Crunchbase — Syncari profile</t>
  </si>
  <si>
    <t xml:space="preserve">crunchbase.com/organization/syncari</t>
  </si>
  <si>
    <t xml:space="preserve">Pitchbook — Syncari profile</t>
  </si>
  <si>
    <t xml:space="preserve">pitchbook.com/profiles/company/343369-54</t>
  </si>
  <si>
    <t xml:space="preserve">Tracxn — Syncari profile</t>
  </si>
  <si>
    <t xml:space="preserve">tracxn.com (Syncari)</t>
  </si>
  <si>
    <t xml:space="preserve">CBInsights — Syncari financials</t>
  </si>
  <si>
    <t xml:space="preserve">cbinsights.com/company/syncari/financials</t>
  </si>
  <si>
    <t xml:space="preserve">Revenue Data</t>
  </si>
  <si>
    <t xml:space="preserve">Latka database — Syncari metrics</t>
  </si>
  <si>
    <t xml:space="preserve">getlatka.com/companies/syncari</t>
  </si>
  <si>
    <t xml:space="preserve">Growjo — Syncari revenue</t>
  </si>
  <si>
    <t xml:space="preserve">growjo.com/company/Syncari</t>
  </si>
  <si>
    <t xml:space="preserve">Customer Reviews</t>
  </si>
  <si>
    <t xml:space="preserve">G2 — Syncari reviews</t>
  </si>
  <si>
    <t xml:space="preserve">g2.com/products/syncari/reviews</t>
  </si>
  <si>
    <t xml:space="preserve">TrustRadius — Syncari reviews</t>
  </si>
  <si>
    <t xml:space="preserve">trustradius.com/products/syncari/reviews</t>
  </si>
  <si>
    <t xml:space="preserve">Pricing Intelligence</t>
  </si>
  <si>
    <t xml:space="preserve">Vendr marketplace — Syncari</t>
  </si>
  <si>
    <t xml:space="preserve">vendr.com/marketplace/syncari</t>
  </si>
  <si>
    <t xml:space="preserve">G2 pricing page — Syncari</t>
  </si>
  <si>
    <t xml:space="preserve">g2.com/products/syncari/pricing</t>
  </si>
  <si>
    <t xml:space="preserve">Analyst Reports</t>
  </si>
  <si>
    <t xml:space="preserve">Gartner 2026 MDM Magic Quadrant</t>
  </si>
  <si>
    <t xml:space="preserve">syncari.com/2026-gartner-magic-quadrant...</t>
  </si>
  <si>
    <t xml:space="preserve">Gartner 2024 MDM Market Guide</t>
  </si>
  <si>
    <t xml:space="preserve">Syncari press release, Dec 2024</t>
  </si>
  <si>
    <t xml:space="preserve">Market Sizing</t>
  </si>
  <si>
    <t xml:space="preserve">Mordor Intelligence MDM report</t>
  </si>
  <si>
    <t xml:space="preserve">mordorintelligence.com/industry-reports/master-data-management-market</t>
  </si>
  <si>
    <t xml:space="preserve">SNS Insider MDM report</t>
  </si>
  <si>
    <t xml:space="preserve">snsinsider.com/reports/master-data-management-market-9105</t>
  </si>
  <si>
    <t xml:space="preserve">Grand View Research MDM</t>
  </si>
  <si>
    <t xml:space="preserve">grandviewresearch.com/industry-analysis/master-data-management-market-report</t>
  </si>
  <si>
    <t xml:space="preserve">Kings Research MDM</t>
  </si>
  <si>
    <t xml:space="preserve">kingsresearch.com/report/master-data-management-market-2552</t>
  </si>
  <si>
    <t xml:space="preserve">Executive Data</t>
  </si>
  <si>
    <t xml:space="preserve">The Org — Nick Bonfiglio</t>
  </si>
  <si>
    <t xml:space="preserve">theorg.com/org/syncari/org-chart/nick-bonfiglio</t>
  </si>
  <si>
    <t xml:space="preserve">LinkedIn — Syncari employees</t>
  </si>
  <si>
    <t xml:space="preserve">linkedin.com/company/syncari</t>
  </si>
  <si>
    <t xml:space="preserve">Press Coverage</t>
  </si>
  <si>
    <t xml:space="preserve">MarTech Series — Gartner MQ coverage</t>
  </si>
  <si>
    <t xml:space="preserve">martechseries.com (Syncari 2026)</t>
  </si>
  <si>
    <t xml:space="preserve">Silicon Review — Nick Bonfiglio interview</t>
  </si>
  <si>
    <t xml:space="preserve">thesiliconreview.com (Syncari profile)</t>
  </si>
  <si>
    <t xml:space="preserve">TheSaaSNews — Series B announcement</t>
  </si>
  <si>
    <t xml:space="preserve">thesaasnews.com/news/syncari-raises-series-b-round</t>
  </si>
  <si>
    <t xml:space="preserve">NextGen VP — founders podcast</t>
  </si>
  <si>
    <t xml:space="preserve">syncari.com/blog/nick-and-neelesh-discuss-syncari-origins</t>
  </si>
  <si>
    <t xml:space="preserve">Competitor Context</t>
  </si>
  <si>
    <t xml:space="preserve">Profisee Gartner MQ summary</t>
  </si>
  <si>
    <t xml:space="preserve">profisee.com/resources/2026-gartner-magic-quadrant</t>
  </si>
  <si>
    <t xml:space="preserve">Market Event</t>
  </si>
  <si>
    <t xml:space="preserve">Salesforce-Informatica acquisition news</t>
  </si>
  <si>
    <t xml:space="preserve">Multiple sources May 2025</t>
  </si>
  <si>
    <t xml:space="preserve">Analytical Methodology</t>
  </si>
  <si>
    <t xml:space="preserve">• Revenue triangulation: Latka 2024 base + employee-count growth + Series B timing + comparable SaaS ARR-per-employee benchmarks.</t>
  </si>
  <si>
    <t xml:space="preserve">• Unit economics: Series B SaaS benchmark ranges adjusted for company-specific signals from Vendr and G2.</t>
  </si>
  <si>
    <t xml:space="preserve">• Pricing: Published tiers cross-referenced against Vendr buyer-reported negotiations.</t>
  </si>
  <si>
    <t xml:space="preserve">• Architecture: Inferred from engineering job listings, product documentation, integration patterns, and case studies.</t>
  </si>
  <si>
    <t xml:space="preserve">• Competitive positioning: Cross-referenced Gartner 2026 MQ, customer reviews, and public case studies.</t>
  </si>
  <si>
    <t xml:space="preserve">• Ethical guardrails: Only public sources used; no attempt to solicit non-public information from current Syncari employees or customers; no reproduction of copyrighted materials.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</si>
</sst>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"/>
    <numFmt numFmtId="167" formatCode="0.0%;\(0.0%\);\-"/>
    <numFmt numFmtId="168" formatCode="\$#,##0;&quot;($&quot;#,##0\);\-"/>
    <numFmt numFmtId="169" formatCode="General"/>
    <numFmt numFmtId="170" formatCode="0.0\B"/>
    <numFmt numFmtId="171" formatCode="0\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CCCCFF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3" min="3" style="0" width="2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</row>
    <row r="7" customFormat="false" ht="15" hidden="false" customHeight="false" outlineLevel="0" collapsed="false">
      <c r="A7" s="5" t="s">
        <v>6</v>
      </c>
      <c r="B7" s="5" t="s">
        <v>7</v>
      </c>
      <c r="C7" s="5" t="s">
        <v>8</v>
      </c>
    </row>
    <row r="8" customFormat="false" ht="15" hidden="false" customHeight="false" outlineLevel="0" collapsed="false">
      <c r="A8" s="6" t="s">
        <v>9</v>
      </c>
      <c r="B8" s="6" t="s">
        <v>10</v>
      </c>
      <c r="C8" s="6" t="s">
        <v>11</v>
      </c>
    </row>
    <row r="9" customFormat="false" ht="15" hidden="false" customHeight="false" outlineLevel="0" collapsed="false">
      <c r="A9" s="5" t="s">
        <v>12</v>
      </c>
      <c r="B9" s="5" t="s">
        <v>13</v>
      </c>
      <c r="C9" s="5" t="s">
        <v>14</v>
      </c>
    </row>
    <row r="10" customFormat="false" ht="15" hidden="false" customHeight="false" outlineLevel="0" collapsed="false">
      <c r="A10" s="6" t="s">
        <v>15</v>
      </c>
      <c r="B10" s="6" t="s">
        <v>16</v>
      </c>
      <c r="C10" s="6" t="s">
        <v>17</v>
      </c>
    </row>
    <row r="11" customFormat="false" ht="15" hidden="false" customHeight="false" outlineLevel="0" collapsed="false">
      <c r="A11" s="5" t="s">
        <v>18</v>
      </c>
      <c r="B11" s="5" t="s">
        <v>19</v>
      </c>
      <c r="C11" s="5" t="s">
        <v>20</v>
      </c>
    </row>
    <row r="12" customFormat="false" ht="15" hidden="false" customHeight="false" outlineLevel="0" collapsed="false">
      <c r="A12" s="6" t="s">
        <v>21</v>
      </c>
      <c r="B12" s="6" t="s">
        <v>22</v>
      </c>
      <c r="C12" s="6" t="s">
        <v>23</v>
      </c>
    </row>
    <row r="13" customFormat="false" ht="15" hidden="false" customHeight="false" outlineLevel="0" collapsed="false">
      <c r="A13" s="5" t="s">
        <v>24</v>
      </c>
      <c r="B13" s="5" t="s">
        <v>25</v>
      </c>
      <c r="C13" s="5" t="s">
        <v>26</v>
      </c>
    </row>
    <row r="14" customFormat="false" ht="15" hidden="false" customHeight="false" outlineLevel="0" collapsed="false">
      <c r="A14" s="6" t="s">
        <v>27</v>
      </c>
      <c r="B14" s="6" t="s">
        <v>28</v>
      </c>
      <c r="C14" s="6" t="s">
        <v>29</v>
      </c>
    </row>
    <row r="15" customFormat="false" ht="15" hidden="false" customHeight="false" outlineLevel="0" collapsed="false">
      <c r="A15" s="5" t="s">
        <v>30</v>
      </c>
      <c r="B15" s="5" t="s">
        <v>31</v>
      </c>
      <c r="C15" s="5" t="s">
        <v>8</v>
      </c>
    </row>
    <row r="17" customFormat="false" ht="15" hidden="false" customHeight="false" outlineLevel="0" collapsed="false">
      <c r="A17" s="3" t="s">
        <v>32</v>
      </c>
    </row>
    <row r="19" customFormat="false" ht="15" hidden="false" customHeight="false" outlineLevel="0" collapsed="false">
      <c r="A19" s="4" t="s">
        <v>33</v>
      </c>
      <c r="B19" s="4" t="s">
        <v>34</v>
      </c>
      <c r="C19" s="4" t="s">
        <v>35</v>
      </c>
    </row>
    <row r="20" customFormat="false" ht="23.85" hidden="false" customHeight="false" outlineLevel="0" collapsed="false">
      <c r="A20" s="6" t="s">
        <v>36</v>
      </c>
      <c r="B20" s="6" t="s">
        <v>37</v>
      </c>
      <c r="C20" s="6" t="s">
        <v>38</v>
      </c>
    </row>
    <row r="21" customFormat="false" ht="15" hidden="false" customHeight="false" outlineLevel="0" collapsed="false">
      <c r="A21" s="5" t="s">
        <v>39</v>
      </c>
      <c r="B21" s="5" t="s">
        <v>40</v>
      </c>
      <c r="C21" s="5" t="s">
        <v>41</v>
      </c>
    </row>
    <row r="22" customFormat="false" ht="23.85" hidden="false" customHeight="false" outlineLevel="0" collapsed="false">
      <c r="A22" s="6" t="s">
        <v>42</v>
      </c>
      <c r="B22" s="7" t="n">
        <v>28300000</v>
      </c>
      <c r="C22" s="6" t="s">
        <v>43</v>
      </c>
    </row>
    <row r="23" customFormat="false" ht="23.85" hidden="false" customHeight="false" outlineLevel="0" collapsed="false">
      <c r="A23" s="5" t="s">
        <v>44</v>
      </c>
      <c r="B23" s="5" t="s">
        <v>45</v>
      </c>
      <c r="C23" s="5" t="s">
        <v>46</v>
      </c>
    </row>
    <row r="24" customFormat="false" ht="23.85" hidden="false" customHeight="false" outlineLevel="0" collapsed="false">
      <c r="A24" s="6" t="s">
        <v>47</v>
      </c>
      <c r="B24" s="6" t="s">
        <v>48</v>
      </c>
      <c r="C24" s="6" t="s">
        <v>49</v>
      </c>
    </row>
    <row r="25" customFormat="false" ht="15" hidden="false" customHeight="false" outlineLevel="0" collapsed="false">
      <c r="A25" s="5" t="s">
        <v>50</v>
      </c>
      <c r="B25" s="5" t="s">
        <v>51</v>
      </c>
      <c r="C25" s="5" t="s">
        <v>52</v>
      </c>
    </row>
    <row r="26" customFormat="false" ht="15" hidden="false" customHeight="false" outlineLevel="0" collapsed="false">
      <c r="A26" s="6" t="s">
        <v>53</v>
      </c>
      <c r="B26" s="6" t="s">
        <v>54</v>
      </c>
      <c r="C26" s="6" t="s">
        <v>55</v>
      </c>
    </row>
    <row r="27" customFormat="false" ht="15" hidden="false" customHeight="false" outlineLevel="0" collapsed="false">
      <c r="A27" s="5" t="s">
        <v>56</v>
      </c>
      <c r="B27" s="5" t="s">
        <v>57</v>
      </c>
      <c r="C27" s="5" t="s">
        <v>58</v>
      </c>
    </row>
    <row r="28" customFormat="false" ht="23.85" hidden="false" customHeight="false" outlineLevel="0" collapsed="false">
      <c r="A28" s="6" t="s">
        <v>59</v>
      </c>
      <c r="B28" s="6" t="s">
        <v>60</v>
      </c>
      <c r="C28" s="6" t="s">
        <v>61</v>
      </c>
    </row>
    <row r="29" customFormat="false" ht="23.85" hidden="false" customHeight="false" outlineLevel="0" collapsed="false">
      <c r="A29" s="5" t="s">
        <v>62</v>
      </c>
      <c r="B29" s="5" t="s">
        <v>63</v>
      </c>
      <c r="C29" s="5" t="s">
        <v>64</v>
      </c>
    </row>
    <row r="30" customFormat="false" ht="23.85" hidden="false" customHeight="false" outlineLevel="0" collapsed="false">
      <c r="A30" s="6" t="s">
        <v>65</v>
      </c>
      <c r="B30" s="6" t="s">
        <v>66</v>
      </c>
      <c r="C30" s="6" t="s">
        <v>67</v>
      </c>
    </row>
    <row r="31" customFormat="false" ht="15" hidden="false" customHeight="false" outlineLevel="0" collapsed="false">
      <c r="A31" s="5" t="s">
        <v>68</v>
      </c>
      <c r="B31" s="5" t="s">
        <v>69</v>
      </c>
      <c r="C31" s="5" t="s">
        <v>70</v>
      </c>
    </row>
    <row r="32" customFormat="false" ht="23.85" hidden="false" customHeight="false" outlineLevel="0" collapsed="false">
      <c r="A32" s="6" t="s">
        <v>71</v>
      </c>
      <c r="B32" s="6" t="s">
        <v>72</v>
      </c>
      <c r="C32" s="6" t="s">
        <v>73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8" min="7" style="0" width="18"/>
    <col collapsed="false" customWidth="true" hidden="false" outlineLevel="0" max="9" min="9" style="0" width="15"/>
  </cols>
  <sheetData>
    <row r="1" customFormat="false" ht="19.7" hidden="false" customHeight="false" outlineLevel="0" collapsed="false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75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5.05" hidden="false" customHeight="false" outlineLevel="0" collapsed="false">
      <c r="A4" s="8" t="s">
        <v>76</v>
      </c>
      <c r="B4" s="8" t="s">
        <v>77</v>
      </c>
      <c r="C4" s="8" t="s">
        <v>78</v>
      </c>
      <c r="D4" s="8" t="s">
        <v>79</v>
      </c>
      <c r="E4" s="8" t="s">
        <v>80</v>
      </c>
      <c r="F4" s="8" t="s">
        <v>81</v>
      </c>
      <c r="G4" s="8" t="s">
        <v>82</v>
      </c>
      <c r="H4" s="8" t="s">
        <v>83</v>
      </c>
      <c r="I4" s="8" t="s">
        <v>84</v>
      </c>
    </row>
    <row r="5" customFormat="false" ht="23.85" hidden="false" customHeight="false" outlineLevel="0" collapsed="false">
      <c r="A5" s="5" t="s">
        <v>85</v>
      </c>
      <c r="B5" s="5" t="s">
        <v>86</v>
      </c>
      <c r="C5" s="5" t="s">
        <v>87</v>
      </c>
      <c r="D5" s="5" t="s">
        <v>88</v>
      </c>
      <c r="E5" s="5" t="s">
        <v>89</v>
      </c>
      <c r="F5" s="5" t="s">
        <v>90</v>
      </c>
      <c r="G5" s="9" t="n">
        <v>150000</v>
      </c>
      <c r="H5" s="5" t="s">
        <v>91</v>
      </c>
      <c r="I5" s="10" t="n">
        <v>9</v>
      </c>
    </row>
    <row r="6" customFormat="false" ht="23.85" hidden="false" customHeight="false" outlineLevel="0" collapsed="false">
      <c r="A6" s="6" t="s">
        <v>92</v>
      </c>
      <c r="B6" s="6" t="s">
        <v>93</v>
      </c>
      <c r="C6" s="6" t="s">
        <v>87</v>
      </c>
      <c r="D6" s="6" t="s">
        <v>94</v>
      </c>
      <c r="E6" s="6" t="s">
        <v>95</v>
      </c>
      <c r="F6" s="6" t="s">
        <v>96</v>
      </c>
      <c r="G6" s="7" t="n">
        <v>200000</v>
      </c>
      <c r="H6" s="6" t="s">
        <v>97</v>
      </c>
      <c r="I6" s="10" t="n">
        <v>8</v>
      </c>
    </row>
    <row r="7" customFormat="false" ht="23.85" hidden="false" customHeight="false" outlineLevel="0" collapsed="false">
      <c r="A7" s="5" t="s">
        <v>98</v>
      </c>
      <c r="B7" s="5" t="s">
        <v>99</v>
      </c>
      <c r="C7" s="5" t="s">
        <v>87</v>
      </c>
      <c r="D7" s="5" t="s">
        <v>100</v>
      </c>
      <c r="E7" s="5" t="s">
        <v>101</v>
      </c>
      <c r="F7" s="5" t="s">
        <v>102</v>
      </c>
      <c r="G7" s="9" t="n">
        <v>180000</v>
      </c>
      <c r="H7" s="5" t="s">
        <v>91</v>
      </c>
      <c r="I7" s="11" t="n">
        <v>6</v>
      </c>
    </row>
    <row r="8" customFormat="false" ht="23.85" hidden="false" customHeight="false" outlineLevel="0" collapsed="false">
      <c r="A8" s="6" t="s">
        <v>103</v>
      </c>
      <c r="B8" s="6" t="s">
        <v>104</v>
      </c>
      <c r="C8" s="6" t="s">
        <v>87</v>
      </c>
      <c r="D8" s="6" t="s">
        <v>105</v>
      </c>
      <c r="E8" s="6" t="s">
        <v>106</v>
      </c>
      <c r="F8" s="6" t="s">
        <v>107</v>
      </c>
      <c r="G8" s="7" t="n">
        <v>80000</v>
      </c>
      <c r="H8" s="6" t="s">
        <v>108</v>
      </c>
      <c r="I8" s="11" t="n">
        <v>7</v>
      </c>
    </row>
    <row r="9" customFormat="false" ht="15" hidden="false" customHeight="false" outlineLevel="0" collapsed="false">
      <c r="A9" s="5" t="s">
        <v>109</v>
      </c>
      <c r="B9" s="5" t="s">
        <v>110</v>
      </c>
      <c r="C9" s="5" t="s">
        <v>87</v>
      </c>
      <c r="D9" s="5" t="s">
        <v>111</v>
      </c>
      <c r="E9" s="5" t="s">
        <v>112</v>
      </c>
      <c r="F9" s="5" t="s">
        <v>113</v>
      </c>
      <c r="G9" s="9" t="n">
        <v>120000</v>
      </c>
      <c r="H9" s="5" t="s">
        <v>91</v>
      </c>
      <c r="I9" s="11" t="n">
        <v>7</v>
      </c>
    </row>
    <row r="10" customFormat="false" ht="15" hidden="false" customHeight="false" outlineLevel="0" collapsed="false">
      <c r="A10" s="6" t="s">
        <v>114</v>
      </c>
      <c r="B10" s="6" t="s">
        <v>114</v>
      </c>
      <c r="C10" s="6" t="s">
        <v>115</v>
      </c>
      <c r="D10" s="6" t="s">
        <v>116</v>
      </c>
      <c r="E10" s="6" t="s">
        <v>117</v>
      </c>
      <c r="F10" s="6" t="s">
        <v>118</v>
      </c>
      <c r="G10" s="7" t="n">
        <v>250000</v>
      </c>
      <c r="H10" s="6" t="s">
        <v>91</v>
      </c>
      <c r="I10" s="12" t="n">
        <v>5</v>
      </c>
    </row>
    <row r="11" customFormat="false" ht="15" hidden="false" customHeight="false" outlineLevel="0" collapsed="false">
      <c r="A11" s="5" t="s">
        <v>119</v>
      </c>
      <c r="B11" s="5" t="s">
        <v>120</v>
      </c>
      <c r="C11" s="5" t="s">
        <v>115</v>
      </c>
      <c r="D11" s="5" t="s">
        <v>121</v>
      </c>
      <c r="E11" s="5" t="s">
        <v>122</v>
      </c>
      <c r="F11" s="5" t="s">
        <v>123</v>
      </c>
      <c r="G11" s="9" t="n">
        <v>90000</v>
      </c>
      <c r="H11" s="5" t="s">
        <v>91</v>
      </c>
      <c r="I11" s="11" t="n">
        <v>6</v>
      </c>
    </row>
    <row r="12" customFormat="false" ht="15" hidden="false" customHeight="false" outlineLevel="0" collapsed="false">
      <c r="A12" s="6" t="s">
        <v>124</v>
      </c>
      <c r="B12" s="6" t="s">
        <v>125</v>
      </c>
      <c r="C12" s="6" t="s">
        <v>115</v>
      </c>
      <c r="D12" s="6" t="s">
        <v>126</v>
      </c>
      <c r="E12" s="6" t="s">
        <v>127</v>
      </c>
      <c r="F12" s="6" t="s">
        <v>128</v>
      </c>
      <c r="G12" s="7" t="n">
        <v>150000</v>
      </c>
      <c r="H12" s="6" t="s">
        <v>97</v>
      </c>
      <c r="I12" s="12" t="n">
        <v>5</v>
      </c>
    </row>
    <row r="13" customFormat="false" ht="15" hidden="false" customHeight="false" outlineLevel="0" collapsed="false">
      <c r="A13" s="5" t="s">
        <v>129</v>
      </c>
      <c r="B13" s="5" t="s">
        <v>130</v>
      </c>
      <c r="C13" s="5" t="s">
        <v>131</v>
      </c>
      <c r="D13" s="5" t="s">
        <v>132</v>
      </c>
      <c r="E13" s="5" t="s">
        <v>133</v>
      </c>
      <c r="F13" s="5" t="s">
        <v>134</v>
      </c>
      <c r="G13" s="9" t="n">
        <v>40000</v>
      </c>
      <c r="H13" s="5" t="s">
        <v>135</v>
      </c>
      <c r="I13" s="13" t="n">
        <v>4</v>
      </c>
    </row>
    <row r="14" customFormat="false" ht="15" hidden="false" customHeight="false" outlineLevel="0" collapsed="false">
      <c r="A14" s="6" t="s">
        <v>136</v>
      </c>
      <c r="B14" s="6" t="s">
        <v>120</v>
      </c>
      <c r="C14" s="6" t="s">
        <v>131</v>
      </c>
      <c r="D14" s="6" t="s">
        <v>137</v>
      </c>
      <c r="E14" s="6" t="s">
        <v>138</v>
      </c>
      <c r="F14" s="6" t="s">
        <v>139</v>
      </c>
      <c r="G14" s="7" t="n">
        <v>100000</v>
      </c>
      <c r="H14" s="6" t="s">
        <v>91</v>
      </c>
      <c r="I14" s="12" t="n">
        <v>3</v>
      </c>
    </row>
    <row r="15" customFormat="false" ht="15" hidden="false" customHeight="false" outlineLevel="0" collapsed="false">
      <c r="A15" s="5" t="s">
        <v>140</v>
      </c>
      <c r="B15" s="5" t="s">
        <v>125</v>
      </c>
      <c r="C15" s="5" t="s">
        <v>131</v>
      </c>
      <c r="D15" s="5" t="s">
        <v>141</v>
      </c>
      <c r="E15" s="5" t="s">
        <v>142</v>
      </c>
      <c r="F15" s="5" t="s">
        <v>143</v>
      </c>
      <c r="G15" s="9" t="n">
        <v>90000</v>
      </c>
      <c r="H15" s="5" t="s">
        <v>91</v>
      </c>
      <c r="I15" s="13" t="n">
        <v>4</v>
      </c>
    </row>
    <row r="16" customFormat="false" ht="15" hidden="false" customHeight="false" outlineLevel="0" collapsed="false">
      <c r="A16" s="6" t="s">
        <v>144</v>
      </c>
      <c r="B16" s="6" t="s">
        <v>145</v>
      </c>
      <c r="C16" s="6" t="s">
        <v>54</v>
      </c>
      <c r="D16" s="6" t="s">
        <v>146</v>
      </c>
      <c r="E16" s="6" t="s">
        <v>147</v>
      </c>
      <c r="F16" s="6" t="s">
        <v>148</v>
      </c>
      <c r="G16" s="7" t="n">
        <v>75000</v>
      </c>
      <c r="H16" s="6" t="s">
        <v>97</v>
      </c>
      <c r="I16" s="11" t="n">
        <v>6</v>
      </c>
    </row>
    <row r="17" customFormat="false" ht="15" hidden="false" customHeight="false" outlineLevel="0" collapsed="false">
      <c r="A17" s="5" t="s">
        <v>149</v>
      </c>
      <c r="B17" s="5" t="s">
        <v>150</v>
      </c>
      <c r="C17" s="5" t="s">
        <v>54</v>
      </c>
      <c r="D17" s="5" t="s">
        <v>151</v>
      </c>
      <c r="E17" s="5" t="s">
        <v>152</v>
      </c>
      <c r="F17" s="5" t="s">
        <v>153</v>
      </c>
      <c r="G17" s="9" t="n">
        <v>120000</v>
      </c>
      <c r="H17" s="5" t="s">
        <v>91</v>
      </c>
      <c r="I17" s="13" t="n">
        <v>5</v>
      </c>
    </row>
    <row r="18" customFormat="false" ht="23.85" hidden="false" customHeight="false" outlineLevel="0" collapsed="false">
      <c r="A18" s="14" t="s">
        <v>154</v>
      </c>
      <c r="B18" s="14" t="s">
        <v>155</v>
      </c>
      <c r="C18" s="14" t="s">
        <v>54</v>
      </c>
      <c r="D18" s="14" t="s">
        <v>156</v>
      </c>
      <c r="E18" s="14" t="s">
        <v>157</v>
      </c>
      <c r="F18" s="14" t="s">
        <v>158</v>
      </c>
      <c r="G18" s="15" t="n">
        <v>75000</v>
      </c>
      <c r="H18" s="14" t="s">
        <v>159</v>
      </c>
      <c r="I18" s="14"/>
    </row>
    <row r="19" customFormat="false" ht="15" hidden="false" customHeight="false" outlineLevel="0" collapsed="false">
      <c r="A19" s="5" t="s">
        <v>160</v>
      </c>
      <c r="B19" s="5" t="s">
        <v>155</v>
      </c>
      <c r="C19" s="5" t="s">
        <v>161</v>
      </c>
      <c r="D19" s="5" t="s">
        <v>162</v>
      </c>
      <c r="E19" s="5" t="s">
        <v>163</v>
      </c>
      <c r="F19" s="5" t="s">
        <v>164</v>
      </c>
      <c r="G19" s="9" t="n">
        <v>120000</v>
      </c>
      <c r="H19" s="5" t="s">
        <v>97</v>
      </c>
      <c r="I19" s="13" t="n">
        <v>4</v>
      </c>
    </row>
    <row r="22" customFormat="false" ht="15" hidden="false" customHeight="false" outlineLevel="0" collapsed="false">
      <c r="A22" s="3" t="s">
        <v>165</v>
      </c>
    </row>
    <row r="23" customFormat="false" ht="15" hidden="false" customHeight="false" outlineLevel="0" collapsed="false">
      <c r="A23" s="16" t="s">
        <v>166</v>
      </c>
      <c r="B23" s="17" t="n">
        <f aca="false">MEDIAN(G5:G19)</f>
        <v>120000</v>
      </c>
    </row>
    <row r="24" customFormat="false" ht="15" hidden="false" customHeight="false" outlineLevel="0" collapsed="false">
      <c r="A24" s="16" t="s">
        <v>167</v>
      </c>
      <c r="B24" s="17" t="n">
        <f aca="false">AVERAGE(G5:G19)</f>
        <v>122666.666666667</v>
      </c>
    </row>
    <row r="25" customFormat="false" ht="15" hidden="false" customHeight="false" outlineLevel="0" collapsed="false">
      <c r="A25" s="16" t="s">
        <v>168</v>
      </c>
      <c r="B25" s="18" t="n">
        <f aca="false">AVERAGE(I5:I19)</f>
        <v>5.64285714285714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48"/>
    <col collapsed="false" customWidth="true" hidden="false" outlineLevel="0" max="6" min="6" style="0" width="24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170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8" t="s">
        <v>171</v>
      </c>
      <c r="B4" s="8" t="s">
        <v>172</v>
      </c>
      <c r="C4" s="8" t="s">
        <v>173</v>
      </c>
      <c r="D4" s="8" t="s">
        <v>174</v>
      </c>
      <c r="E4" s="8" t="s">
        <v>175</v>
      </c>
      <c r="F4" s="8" t="s">
        <v>176</v>
      </c>
      <c r="G4" s="8" t="s">
        <v>177</v>
      </c>
    </row>
    <row r="5" customFormat="false" ht="15" hidden="false" customHeight="false" outlineLevel="0" collapsed="false">
      <c r="A5" s="6" t="s">
        <v>178</v>
      </c>
      <c r="B5" s="6" t="s">
        <v>179</v>
      </c>
      <c r="C5" s="7" t="n">
        <v>6500000</v>
      </c>
      <c r="D5" s="6" t="s">
        <v>180</v>
      </c>
      <c r="E5" s="6" t="s">
        <v>181</v>
      </c>
      <c r="F5" s="7" t="n">
        <v>15000000</v>
      </c>
      <c r="G5" s="7" t="n">
        <v>6500000</v>
      </c>
    </row>
    <row r="6" customFormat="false" ht="23.85" hidden="false" customHeight="false" outlineLevel="0" collapsed="false">
      <c r="A6" s="5" t="s">
        <v>182</v>
      </c>
      <c r="B6" s="5" t="s">
        <v>183</v>
      </c>
      <c r="C6" s="9" t="n">
        <v>17300000</v>
      </c>
      <c r="D6" s="5" t="s">
        <v>184</v>
      </c>
      <c r="E6" s="5" t="s">
        <v>185</v>
      </c>
      <c r="F6" s="9" t="n">
        <v>75000000</v>
      </c>
      <c r="G6" s="9" t="n">
        <v>23800000</v>
      </c>
    </row>
    <row r="7" customFormat="false" ht="15" hidden="false" customHeight="false" outlineLevel="0" collapsed="false">
      <c r="A7" s="6" t="s">
        <v>186</v>
      </c>
      <c r="B7" s="6" t="s">
        <v>187</v>
      </c>
      <c r="C7" s="7" t="n">
        <v>1500000</v>
      </c>
      <c r="D7" s="6" t="s">
        <v>188</v>
      </c>
      <c r="E7" s="6" t="s">
        <v>189</v>
      </c>
      <c r="F7" s="7" t="n">
        <v>85000000</v>
      </c>
      <c r="G7" s="7" t="n">
        <v>25300000</v>
      </c>
    </row>
    <row r="8" customFormat="false" ht="15" hidden="false" customHeight="false" outlineLevel="0" collapsed="false">
      <c r="A8" s="5" t="s">
        <v>190</v>
      </c>
      <c r="B8" s="5" t="s">
        <v>191</v>
      </c>
      <c r="C8" s="9" t="n">
        <v>3000000</v>
      </c>
      <c r="D8" s="5" t="s">
        <v>192</v>
      </c>
      <c r="E8" s="5" t="s">
        <v>193</v>
      </c>
      <c r="F8" s="9" t="n">
        <v>150000000</v>
      </c>
      <c r="G8" s="9" t="n">
        <v>28300000</v>
      </c>
    </row>
    <row r="10" customFormat="false" ht="15" hidden="false" customHeight="false" outlineLevel="0" collapsed="false">
      <c r="A10" s="16" t="s">
        <v>194</v>
      </c>
      <c r="C10" s="19" t="n">
        <f aca="false">SUM(C5:C8)</f>
        <v>28300000</v>
      </c>
      <c r="G10" s="20" t="n">
        <f aca="false">C10</f>
        <v>28300000</v>
      </c>
    </row>
    <row r="13" customFormat="false" ht="15" hidden="false" customHeight="false" outlineLevel="0" collapsed="false">
      <c r="A13" s="3" t="s">
        <v>195</v>
      </c>
    </row>
    <row r="14" customFormat="false" ht="15" hidden="false" customHeight="false" outlineLevel="0" collapsed="false">
      <c r="A14" s="8" t="s">
        <v>196</v>
      </c>
      <c r="B14" s="8" t="s">
        <v>197</v>
      </c>
      <c r="C14" s="8" t="s">
        <v>198</v>
      </c>
      <c r="D14" s="8" t="s">
        <v>199</v>
      </c>
    </row>
    <row r="15" customFormat="false" ht="23.85" hidden="false" customHeight="false" outlineLevel="0" collapsed="false">
      <c r="A15" s="5" t="s">
        <v>180</v>
      </c>
      <c r="B15" s="5" t="s">
        <v>200</v>
      </c>
      <c r="C15" s="5" t="s">
        <v>179</v>
      </c>
      <c r="D15" s="5" t="s">
        <v>201</v>
      </c>
    </row>
    <row r="16" customFormat="false" ht="23.85" hidden="false" customHeight="false" outlineLevel="0" collapsed="false">
      <c r="A16" s="6" t="s">
        <v>184</v>
      </c>
      <c r="B16" s="6" t="s">
        <v>202</v>
      </c>
      <c r="C16" s="6" t="s">
        <v>183</v>
      </c>
      <c r="D16" s="6" t="s">
        <v>203</v>
      </c>
    </row>
    <row r="17" customFormat="false" ht="23.85" hidden="false" customHeight="false" outlineLevel="0" collapsed="false">
      <c r="A17" s="5" t="s">
        <v>204</v>
      </c>
      <c r="B17" s="5" t="s">
        <v>205</v>
      </c>
      <c r="C17" s="5" t="s">
        <v>183</v>
      </c>
      <c r="D17" s="5" t="s">
        <v>206</v>
      </c>
    </row>
    <row r="18" customFormat="false" ht="23.85" hidden="false" customHeight="false" outlineLevel="0" collapsed="false">
      <c r="A18" s="6" t="s">
        <v>181</v>
      </c>
      <c r="B18" s="6" t="s">
        <v>207</v>
      </c>
      <c r="C18" s="6" t="s">
        <v>179</v>
      </c>
      <c r="D18" s="6" t="s">
        <v>208</v>
      </c>
    </row>
    <row r="19" customFormat="false" ht="15" hidden="false" customHeight="false" outlineLevel="0" collapsed="false">
      <c r="A19" s="5" t="s">
        <v>209</v>
      </c>
      <c r="B19" s="5" t="s">
        <v>182</v>
      </c>
      <c r="C19" s="5" t="s">
        <v>183</v>
      </c>
      <c r="D19" s="5" t="s">
        <v>210</v>
      </c>
    </row>
    <row r="20" customFormat="false" ht="23.85" hidden="false" customHeight="false" outlineLevel="0" collapsed="false">
      <c r="A20" s="6" t="s">
        <v>192</v>
      </c>
      <c r="B20" s="6" t="s">
        <v>211</v>
      </c>
      <c r="C20" s="6" t="s">
        <v>191</v>
      </c>
      <c r="D20" s="6" t="s">
        <v>212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214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8" t="s">
        <v>76</v>
      </c>
      <c r="B4" s="8" t="s">
        <v>215</v>
      </c>
      <c r="C4" s="8" t="s">
        <v>216</v>
      </c>
      <c r="D4" s="8" t="s">
        <v>217</v>
      </c>
      <c r="E4" s="8" t="s">
        <v>218</v>
      </c>
      <c r="F4" s="8" t="s">
        <v>219</v>
      </c>
      <c r="G4" s="8" t="s">
        <v>220</v>
      </c>
    </row>
    <row r="5" customFormat="false" ht="15" hidden="false" customHeight="false" outlineLevel="0" collapsed="false">
      <c r="A5" s="14" t="s">
        <v>154</v>
      </c>
      <c r="B5" s="14" t="s">
        <v>221</v>
      </c>
      <c r="C5" s="14" t="s">
        <v>222</v>
      </c>
      <c r="D5" s="15" t="n">
        <v>150000</v>
      </c>
      <c r="E5" s="14" t="s">
        <v>223</v>
      </c>
      <c r="F5" s="14" t="s">
        <v>224</v>
      </c>
      <c r="G5" s="14" t="s">
        <v>225</v>
      </c>
    </row>
    <row r="6" customFormat="false" ht="15" hidden="false" customHeight="false" outlineLevel="0" collapsed="false">
      <c r="A6" s="6" t="s">
        <v>85</v>
      </c>
      <c r="B6" s="6" t="s">
        <v>226</v>
      </c>
      <c r="C6" s="6" t="s">
        <v>227</v>
      </c>
      <c r="D6" s="7" t="n">
        <v>250000</v>
      </c>
      <c r="E6" s="6" t="s">
        <v>228</v>
      </c>
      <c r="F6" s="6" t="s">
        <v>229</v>
      </c>
      <c r="G6" s="6" t="s">
        <v>230</v>
      </c>
    </row>
    <row r="7" customFormat="false" ht="15" hidden="false" customHeight="false" outlineLevel="0" collapsed="false">
      <c r="A7" s="5" t="s">
        <v>92</v>
      </c>
      <c r="B7" s="5" t="s">
        <v>227</v>
      </c>
      <c r="C7" s="5" t="s">
        <v>227</v>
      </c>
      <c r="D7" s="9" t="n">
        <v>220000</v>
      </c>
      <c r="E7" s="5" t="s">
        <v>231</v>
      </c>
      <c r="F7" s="5" t="s">
        <v>232</v>
      </c>
      <c r="G7" s="5" t="s">
        <v>233</v>
      </c>
    </row>
    <row r="8" customFormat="false" ht="23.85" hidden="false" customHeight="false" outlineLevel="0" collapsed="false">
      <c r="A8" s="6" t="s">
        <v>103</v>
      </c>
      <c r="B8" s="6" t="s">
        <v>234</v>
      </c>
      <c r="C8" s="6" t="s">
        <v>235</v>
      </c>
      <c r="D8" s="7" t="n">
        <v>100000</v>
      </c>
      <c r="E8" s="6" t="s">
        <v>236</v>
      </c>
      <c r="F8" s="6" t="s">
        <v>237</v>
      </c>
      <c r="G8" s="6" t="s">
        <v>225</v>
      </c>
    </row>
    <row r="9" customFormat="false" ht="15" hidden="false" customHeight="false" outlineLevel="0" collapsed="false">
      <c r="A9" s="5" t="s">
        <v>109</v>
      </c>
      <c r="B9" s="5" t="s">
        <v>227</v>
      </c>
      <c r="C9" s="5" t="s">
        <v>227</v>
      </c>
      <c r="D9" s="9" t="n">
        <v>180000</v>
      </c>
      <c r="E9" s="5" t="s">
        <v>238</v>
      </c>
      <c r="F9" s="5" t="s">
        <v>232</v>
      </c>
      <c r="G9" s="5" t="s">
        <v>225</v>
      </c>
    </row>
    <row r="10" customFormat="false" ht="15" hidden="false" customHeight="false" outlineLevel="0" collapsed="false">
      <c r="A10" s="6" t="s">
        <v>119</v>
      </c>
      <c r="B10" s="6" t="s">
        <v>239</v>
      </c>
      <c r="C10" s="6" t="s">
        <v>240</v>
      </c>
      <c r="D10" s="7" t="n">
        <v>120000</v>
      </c>
      <c r="E10" s="6" t="s">
        <v>241</v>
      </c>
      <c r="F10" s="6" t="s">
        <v>242</v>
      </c>
      <c r="G10" s="6" t="s">
        <v>225</v>
      </c>
    </row>
    <row r="11" customFormat="false" ht="15" hidden="false" customHeight="false" outlineLevel="0" collapsed="false">
      <c r="A11" s="5" t="s">
        <v>243</v>
      </c>
      <c r="B11" s="5" t="s">
        <v>244</v>
      </c>
      <c r="C11" s="5" t="s">
        <v>245</v>
      </c>
      <c r="D11" s="9" t="n">
        <v>80000</v>
      </c>
      <c r="E11" s="5" t="s">
        <v>246</v>
      </c>
      <c r="F11" s="5" t="s">
        <v>247</v>
      </c>
      <c r="G11" s="5" t="s">
        <v>225</v>
      </c>
    </row>
    <row r="12" customFormat="false" ht="15" hidden="false" customHeight="false" outlineLevel="0" collapsed="false">
      <c r="A12" s="6" t="s">
        <v>98</v>
      </c>
      <c r="B12" s="6" t="s">
        <v>248</v>
      </c>
      <c r="C12" s="6" t="s">
        <v>249</v>
      </c>
      <c r="D12" s="7" t="n">
        <v>220000</v>
      </c>
      <c r="E12" s="6" t="s">
        <v>250</v>
      </c>
      <c r="F12" s="6" t="s">
        <v>229</v>
      </c>
      <c r="G12" s="6" t="s">
        <v>251</v>
      </c>
    </row>
    <row r="13" customFormat="false" ht="15" hidden="false" customHeight="false" outlineLevel="0" collapsed="false">
      <c r="A13" s="5" t="s">
        <v>160</v>
      </c>
      <c r="B13" s="5" t="s">
        <v>227</v>
      </c>
      <c r="C13" s="5" t="s">
        <v>227</v>
      </c>
      <c r="D13" s="9" t="n">
        <v>180000</v>
      </c>
      <c r="E13" s="5" t="s">
        <v>252</v>
      </c>
      <c r="F13" s="5" t="s">
        <v>232</v>
      </c>
      <c r="G13" s="5" t="s">
        <v>251</v>
      </c>
    </row>
    <row r="14" customFormat="false" ht="15" hidden="false" customHeight="false" outlineLevel="0" collapsed="false">
      <c r="A14" s="6" t="s">
        <v>253</v>
      </c>
      <c r="B14" s="6" t="s">
        <v>254</v>
      </c>
      <c r="C14" s="6" t="s">
        <v>255</v>
      </c>
      <c r="D14" s="6" t="n">
        <v>0</v>
      </c>
      <c r="E14" s="6" t="s">
        <v>256</v>
      </c>
      <c r="F14" s="6" t="s">
        <v>257</v>
      </c>
      <c r="G14" s="6" t="s">
        <v>257</v>
      </c>
    </row>
    <row r="18" customFormat="false" ht="15" hidden="false" customHeight="false" outlineLevel="0" collapsed="false">
      <c r="A18" s="21" t="s">
        <v>258</v>
      </c>
      <c r="B18" s="21"/>
      <c r="C18" s="21"/>
      <c r="D18" s="21"/>
      <c r="E18" s="21"/>
    </row>
    <row r="19" customFormat="false" ht="15" hidden="false" customHeight="false" outlineLevel="0" collapsed="false">
      <c r="A19" s="22" t="s">
        <v>259</v>
      </c>
      <c r="B19" s="22" t="s">
        <v>260</v>
      </c>
      <c r="C19" s="22" t="s">
        <v>261</v>
      </c>
    </row>
    <row r="20" customFormat="false" ht="23.85" hidden="false" customHeight="false" outlineLevel="0" collapsed="false">
      <c r="A20" s="6" t="s">
        <v>262</v>
      </c>
      <c r="B20" s="6" t="s">
        <v>263</v>
      </c>
      <c r="C20" s="6" t="s">
        <v>264</v>
      </c>
    </row>
    <row r="21" customFormat="false" ht="23.85" hidden="false" customHeight="false" outlineLevel="0" collapsed="false">
      <c r="A21" s="5" t="s">
        <v>265</v>
      </c>
      <c r="B21" s="5" t="s">
        <v>266</v>
      </c>
      <c r="C21" s="5" t="s">
        <v>267</v>
      </c>
    </row>
    <row r="22" customFormat="false" ht="23.85" hidden="false" customHeight="false" outlineLevel="0" collapsed="false">
      <c r="A22" s="6" t="s">
        <v>268</v>
      </c>
      <c r="B22" s="6" t="s">
        <v>269</v>
      </c>
      <c r="C22" s="6" t="s">
        <v>267</v>
      </c>
    </row>
    <row r="23" customFormat="false" ht="23.85" hidden="false" customHeight="false" outlineLevel="0" collapsed="false">
      <c r="A23" s="5" t="s">
        <v>270</v>
      </c>
      <c r="B23" s="5" t="s">
        <v>271</v>
      </c>
      <c r="C23" s="5" t="s">
        <v>267</v>
      </c>
    </row>
    <row r="24" customFormat="false" ht="23.85" hidden="false" customHeight="false" outlineLevel="0" collapsed="false">
      <c r="A24" s="6" t="s">
        <v>272</v>
      </c>
      <c r="B24" s="6" t="s">
        <v>273</v>
      </c>
      <c r="C24" s="6" t="s">
        <v>274</v>
      </c>
    </row>
    <row r="25" customFormat="false" ht="23.85" hidden="false" customHeight="false" outlineLevel="0" collapsed="false">
      <c r="A25" s="5" t="s">
        <v>275</v>
      </c>
      <c r="B25" s="5" t="s">
        <v>276</v>
      </c>
      <c r="C25" s="5" t="s">
        <v>267</v>
      </c>
    </row>
  </sheetData>
  <mergeCells count="3">
    <mergeCell ref="A1:J1"/>
    <mergeCell ref="A2:J2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4" min="4" style="0" width="38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278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8" t="s">
        <v>279</v>
      </c>
      <c r="B4" s="8" t="s">
        <v>280</v>
      </c>
      <c r="C4" s="8" t="s">
        <v>281</v>
      </c>
      <c r="D4" s="8" t="s">
        <v>282</v>
      </c>
      <c r="E4" s="8" t="s">
        <v>283</v>
      </c>
      <c r="F4" s="8" t="s">
        <v>284</v>
      </c>
    </row>
    <row r="5" customFormat="false" ht="15" hidden="false" customHeight="false" outlineLevel="0" collapsed="false">
      <c r="A5" s="5" t="s">
        <v>285</v>
      </c>
      <c r="B5" s="5" t="s">
        <v>286</v>
      </c>
      <c r="C5" s="5" t="s">
        <v>287</v>
      </c>
      <c r="D5" s="5" t="s">
        <v>288</v>
      </c>
      <c r="E5" s="5" t="s">
        <v>225</v>
      </c>
      <c r="F5" s="5" t="s">
        <v>289</v>
      </c>
    </row>
    <row r="6" customFormat="false" ht="23.85" hidden="false" customHeight="false" outlineLevel="0" collapsed="false">
      <c r="A6" s="6" t="s">
        <v>290</v>
      </c>
      <c r="B6" s="6" t="s">
        <v>291</v>
      </c>
      <c r="C6" s="6" t="s">
        <v>292</v>
      </c>
      <c r="D6" s="6" t="s">
        <v>293</v>
      </c>
      <c r="E6" s="6" t="s">
        <v>225</v>
      </c>
      <c r="F6" s="6" t="s">
        <v>294</v>
      </c>
    </row>
    <row r="7" customFormat="false" ht="23.85" hidden="false" customHeight="false" outlineLevel="0" collapsed="false">
      <c r="A7" s="5" t="s">
        <v>295</v>
      </c>
      <c r="B7" s="5" t="s">
        <v>296</v>
      </c>
      <c r="C7" s="5" t="s">
        <v>297</v>
      </c>
      <c r="D7" s="5" t="s">
        <v>298</v>
      </c>
      <c r="E7" s="5" t="s">
        <v>225</v>
      </c>
      <c r="F7" s="5" t="s">
        <v>299</v>
      </c>
    </row>
    <row r="8" customFormat="false" ht="15" hidden="false" customHeight="false" outlineLevel="0" collapsed="false">
      <c r="A8" s="6" t="s">
        <v>300</v>
      </c>
      <c r="B8" s="6" t="s">
        <v>301</v>
      </c>
      <c r="C8" s="6" t="s">
        <v>302</v>
      </c>
      <c r="D8" s="6" t="s">
        <v>303</v>
      </c>
      <c r="E8" s="6" t="s">
        <v>304</v>
      </c>
      <c r="F8" s="6" t="s">
        <v>305</v>
      </c>
    </row>
    <row r="9" customFormat="false" ht="15" hidden="false" customHeight="false" outlineLevel="0" collapsed="false">
      <c r="A9" s="5" t="s">
        <v>306</v>
      </c>
      <c r="B9" s="5" t="s">
        <v>307</v>
      </c>
      <c r="C9" s="5" t="s">
        <v>308</v>
      </c>
      <c r="D9" s="5" t="s">
        <v>309</v>
      </c>
      <c r="E9" s="5" t="s">
        <v>304</v>
      </c>
      <c r="F9" s="5" t="s">
        <v>305</v>
      </c>
    </row>
    <row r="10" customFormat="false" ht="15" hidden="false" customHeight="false" outlineLevel="0" collapsed="false">
      <c r="A10" s="6" t="s">
        <v>310</v>
      </c>
      <c r="B10" s="6" t="s">
        <v>311</v>
      </c>
      <c r="C10" s="6" t="s">
        <v>312</v>
      </c>
      <c r="D10" s="6" t="s">
        <v>313</v>
      </c>
      <c r="E10" s="6" t="s">
        <v>304</v>
      </c>
      <c r="F10" s="6" t="s">
        <v>305</v>
      </c>
    </row>
    <row r="11" customFormat="false" ht="15" hidden="false" customHeight="false" outlineLevel="0" collapsed="false">
      <c r="A11" s="5" t="s">
        <v>314</v>
      </c>
      <c r="B11" s="5" t="s">
        <v>315</v>
      </c>
      <c r="C11" s="5" t="s">
        <v>297</v>
      </c>
      <c r="D11" s="5" t="s">
        <v>316</v>
      </c>
      <c r="E11" s="5" t="s">
        <v>225</v>
      </c>
      <c r="F11" s="5" t="s">
        <v>317</v>
      </c>
    </row>
    <row r="12" customFormat="false" ht="15" hidden="false" customHeight="false" outlineLevel="0" collapsed="false">
      <c r="A12" s="6" t="s">
        <v>318</v>
      </c>
      <c r="B12" s="6" t="s">
        <v>319</v>
      </c>
      <c r="C12" s="6" t="s">
        <v>297</v>
      </c>
      <c r="D12" s="6" t="s">
        <v>320</v>
      </c>
      <c r="E12" s="6" t="s">
        <v>304</v>
      </c>
      <c r="F12" s="6" t="s">
        <v>321</v>
      </c>
    </row>
    <row r="16" customFormat="false" ht="15" hidden="false" customHeight="false" outlineLevel="0" collapsed="false">
      <c r="A16" s="3" t="s">
        <v>322</v>
      </c>
    </row>
    <row r="17" customFormat="false" ht="15" hidden="false" customHeight="false" outlineLevel="0" collapsed="false">
      <c r="A17" s="4" t="s">
        <v>323</v>
      </c>
      <c r="B17" s="4" t="s">
        <v>324</v>
      </c>
      <c r="C17" s="4" t="s">
        <v>325</v>
      </c>
    </row>
    <row r="18" customFormat="false" ht="35.05" hidden="false" customHeight="false" outlineLevel="0" collapsed="false">
      <c r="A18" s="6" t="s">
        <v>326</v>
      </c>
      <c r="B18" s="6" t="s">
        <v>249</v>
      </c>
      <c r="C18" s="6" t="s">
        <v>327</v>
      </c>
    </row>
    <row r="19" customFormat="false" ht="23.85" hidden="false" customHeight="false" outlineLevel="0" collapsed="false">
      <c r="A19" s="5" t="s">
        <v>328</v>
      </c>
      <c r="B19" s="5" t="s">
        <v>329</v>
      </c>
      <c r="C19" s="5" t="s">
        <v>330</v>
      </c>
    </row>
    <row r="20" customFormat="false" ht="23.85" hidden="false" customHeight="false" outlineLevel="0" collapsed="false">
      <c r="A20" s="6" t="s">
        <v>331</v>
      </c>
      <c r="B20" s="6" t="s">
        <v>249</v>
      </c>
      <c r="C20" s="6" t="s">
        <v>332</v>
      </c>
    </row>
    <row r="21" customFormat="false" ht="23.85" hidden="false" customHeight="false" outlineLevel="0" collapsed="false">
      <c r="A21" s="5" t="s">
        <v>333</v>
      </c>
      <c r="B21" s="5" t="s">
        <v>249</v>
      </c>
      <c r="C21" s="5" t="s">
        <v>334</v>
      </c>
    </row>
    <row r="22" customFormat="false" ht="23.85" hidden="false" customHeight="false" outlineLevel="0" collapsed="false">
      <c r="A22" s="6" t="s">
        <v>335</v>
      </c>
      <c r="B22" s="6" t="s">
        <v>329</v>
      </c>
      <c r="C22" s="6" t="s">
        <v>336</v>
      </c>
    </row>
    <row r="23" customFormat="false" ht="23.85" hidden="false" customHeight="false" outlineLevel="0" collapsed="false">
      <c r="A23" s="5" t="s">
        <v>337</v>
      </c>
      <c r="B23" s="5" t="s">
        <v>249</v>
      </c>
      <c r="C23" s="5" t="s">
        <v>338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9.7" hidden="false" customHeight="false" outlineLevel="0" collapsed="false">
      <c r="A1" s="1" t="s">
        <v>339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340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23" t="s">
        <v>341</v>
      </c>
      <c r="B4" s="23"/>
      <c r="C4" s="23"/>
      <c r="D4" s="23"/>
      <c r="E4" s="23"/>
      <c r="F4" s="23"/>
      <c r="G4" s="23"/>
    </row>
    <row r="6" customFormat="false" ht="15" hidden="false" customHeight="false" outlineLevel="0" collapsed="false">
      <c r="A6" s="3" t="s">
        <v>342</v>
      </c>
    </row>
    <row r="7" customFormat="false" ht="15" hidden="false" customHeight="false" outlineLevel="0" collapsed="false">
      <c r="A7" s="24" t="s">
        <v>343</v>
      </c>
      <c r="B7" s="25" t="n">
        <v>1800000</v>
      </c>
      <c r="C7" s="24" t="s">
        <v>344</v>
      </c>
    </row>
    <row r="8" customFormat="false" ht="15" hidden="false" customHeight="false" outlineLevel="0" collapsed="false">
      <c r="A8" s="24" t="s">
        <v>345</v>
      </c>
      <c r="B8" s="26" t="n">
        <v>2</v>
      </c>
      <c r="C8" s="24" t="s">
        <v>346</v>
      </c>
    </row>
    <row r="9" customFormat="false" ht="15" hidden="false" customHeight="false" outlineLevel="0" collapsed="false">
      <c r="A9" s="24" t="s">
        <v>347</v>
      </c>
      <c r="B9" s="26" t="n">
        <v>1.25</v>
      </c>
      <c r="C9" s="24" t="s">
        <v>348</v>
      </c>
    </row>
    <row r="10" customFormat="false" ht="15" hidden="false" customHeight="false" outlineLevel="0" collapsed="false">
      <c r="A10" s="24" t="s">
        <v>349</v>
      </c>
      <c r="B10" s="26" t="n">
        <v>0.72</v>
      </c>
      <c r="C10" s="24" t="s">
        <v>350</v>
      </c>
    </row>
    <row r="11" customFormat="false" ht="15" hidden="false" customHeight="false" outlineLevel="0" collapsed="false">
      <c r="A11" s="24" t="s">
        <v>351</v>
      </c>
      <c r="B11" s="26" t="n">
        <v>0.7</v>
      </c>
      <c r="C11" s="24" t="s">
        <v>352</v>
      </c>
    </row>
    <row r="12" customFormat="false" ht="15" hidden="false" customHeight="false" outlineLevel="0" collapsed="false">
      <c r="A12" s="24" t="s">
        <v>353</v>
      </c>
      <c r="B12" s="26" t="n">
        <v>0.65</v>
      </c>
      <c r="C12" s="24"/>
    </row>
    <row r="13" customFormat="false" ht="15" hidden="false" customHeight="false" outlineLevel="0" collapsed="false">
      <c r="A13" s="24" t="s">
        <v>354</v>
      </c>
      <c r="B13" s="26" t="n">
        <v>0.15</v>
      </c>
      <c r="C13" s="24"/>
    </row>
    <row r="16" customFormat="false" ht="15" hidden="false" customHeight="false" outlineLevel="0" collapsed="false">
      <c r="A16" s="3" t="s">
        <v>355</v>
      </c>
    </row>
    <row r="17" customFormat="false" ht="15" hidden="false" customHeight="false" outlineLevel="0" collapsed="false">
      <c r="A17" s="27" t="s">
        <v>356</v>
      </c>
      <c r="B17" s="8" t="s">
        <v>357</v>
      </c>
      <c r="C17" s="8" t="s">
        <v>358</v>
      </c>
      <c r="D17" s="8" t="s">
        <v>359</v>
      </c>
      <c r="E17" s="8" t="s">
        <v>360</v>
      </c>
      <c r="F17" s="8" t="s">
        <v>361</v>
      </c>
    </row>
    <row r="18" customFormat="false" ht="15" hidden="false" customHeight="false" outlineLevel="0" collapsed="false">
      <c r="A18" s="28" t="s">
        <v>362</v>
      </c>
      <c r="B18" s="29" t="n">
        <v>1000000</v>
      </c>
      <c r="C18" s="30" t="n">
        <f aca="false">B7</f>
        <v>1800000</v>
      </c>
      <c r="D18" s="30" t="n">
        <f aca="false">C18*(1+$B$8)</f>
        <v>5400000</v>
      </c>
      <c r="E18" s="30" t="n">
        <f aca="false">D18*(1+$B$9)</f>
        <v>12150000</v>
      </c>
      <c r="F18" s="30" t="n">
        <f aca="false">E18*(1+$B$9)</f>
        <v>27337500</v>
      </c>
    </row>
    <row r="19" customFormat="false" ht="15" hidden="false" customHeight="false" outlineLevel="0" collapsed="false">
      <c r="A19" s="28" t="s">
        <v>363</v>
      </c>
      <c r="B19" s="30" t="n">
        <f aca="false">B18*$B$10</f>
        <v>720000</v>
      </c>
      <c r="C19" s="30" t="n">
        <f aca="false">C18*$B$10</f>
        <v>1296000</v>
      </c>
      <c r="D19" s="30" t="n">
        <f aca="false">D18*$B$10</f>
        <v>3888000</v>
      </c>
      <c r="E19" s="30" t="n">
        <f aca="false">E18*$B$10</f>
        <v>8748000</v>
      </c>
      <c r="F19" s="30" t="n">
        <f aca="false">F18*$B$10</f>
        <v>19683000</v>
      </c>
    </row>
    <row r="20" customFormat="false" ht="15" hidden="false" customHeight="false" outlineLevel="0" collapsed="false">
      <c r="A20" s="24" t="s">
        <v>364</v>
      </c>
      <c r="B20" s="31" t="n">
        <f aca="false">B19/B18</f>
        <v>0.72</v>
      </c>
      <c r="C20" s="31" t="n">
        <f aca="false">C19/C18</f>
        <v>0.72</v>
      </c>
      <c r="D20" s="31" t="n">
        <f aca="false">D19/D18</f>
        <v>0.72</v>
      </c>
      <c r="E20" s="31" t="n">
        <f aca="false">E19/E18</f>
        <v>0.72</v>
      </c>
      <c r="F20" s="31" t="n">
        <f aca="false">F19/F18</f>
        <v>0.72</v>
      </c>
    </row>
    <row r="21" customFormat="false" ht="15" hidden="false" customHeight="false" outlineLevel="0" collapsed="false">
      <c r="A21" s="32"/>
      <c r="B21" s="33"/>
      <c r="C21" s="33"/>
      <c r="D21" s="33"/>
      <c r="E21" s="33"/>
      <c r="F21" s="33"/>
    </row>
    <row r="22" customFormat="false" ht="15" hidden="false" customHeight="false" outlineLevel="0" collapsed="false">
      <c r="A22" s="24" t="s">
        <v>365</v>
      </c>
      <c r="B22" s="30" t="n">
        <f aca="false">B18*$B$11</f>
        <v>700000</v>
      </c>
      <c r="C22" s="30" t="n">
        <f aca="false">C18*$B$11</f>
        <v>1260000</v>
      </c>
      <c r="D22" s="30" t="n">
        <f aca="false">D18*$B$11</f>
        <v>3780000</v>
      </c>
      <c r="E22" s="30" t="n">
        <f aca="false">E18*$B$11</f>
        <v>8505000</v>
      </c>
      <c r="F22" s="30" t="n">
        <f aca="false">F18*$B$11</f>
        <v>19136250</v>
      </c>
    </row>
    <row r="23" customFormat="false" ht="15" hidden="false" customHeight="false" outlineLevel="0" collapsed="false">
      <c r="A23" s="24" t="s">
        <v>366</v>
      </c>
      <c r="B23" s="30" t="n">
        <f aca="false">B18*$B$12</f>
        <v>650000</v>
      </c>
      <c r="C23" s="30" t="n">
        <f aca="false">C18*$B$12</f>
        <v>1170000</v>
      </c>
      <c r="D23" s="30" t="n">
        <f aca="false">D18*$B$12</f>
        <v>3510000</v>
      </c>
      <c r="E23" s="30" t="n">
        <f aca="false">E18*$B$12</f>
        <v>7897500</v>
      </c>
      <c r="F23" s="30" t="n">
        <f aca="false">F18*$B$12</f>
        <v>17769375</v>
      </c>
    </row>
    <row r="24" customFormat="false" ht="15" hidden="false" customHeight="false" outlineLevel="0" collapsed="false">
      <c r="A24" s="24" t="s">
        <v>367</v>
      </c>
      <c r="B24" s="30" t="n">
        <f aca="false">B18*$B$13</f>
        <v>150000</v>
      </c>
      <c r="C24" s="30" t="n">
        <f aca="false">C18*$B$13</f>
        <v>270000</v>
      </c>
      <c r="D24" s="30" t="n">
        <f aca="false">D18*$B$13</f>
        <v>810000</v>
      </c>
      <c r="E24" s="30" t="n">
        <f aca="false">E18*$B$13</f>
        <v>1822500</v>
      </c>
      <c r="F24" s="30" t="n">
        <f aca="false">F18*$B$13</f>
        <v>4100625</v>
      </c>
    </row>
    <row r="25" customFormat="false" ht="15" hidden="false" customHeight="false" outlineLevel="0" collapsed="false">
      <c r="A25" s="28" t="s">
        <v>368</v>
      </c>
      <c r="B25" s="30" t="n">
        <f aca="false">B22+B23+B24</f>
        <v>1500000</v>
      </c>
      <c r="C25" s="30" t="n">
        <f aca="false">C22+C23+C24</f>
        <v>2700000</v>
      </c>
      <c r="D25" s="30" t="n">
        <f aca="false">D22+D23+D24</f>
        <v>8100000</v>
      </c>
      <c r="E25" s="30" t="n">
        <f aca="false">E22+E23+E24</f>
        <v>18225000</v>
      </c>
      <c r="F25" s="30" t="n">
        <f aca="false">F22+F23+F24</f>
        <v>41006250</v>
      </c>
    </row>
    <row r="26" customFormat="false" ht="15" hidden="false" customHeight="false" outlineLevel="0" collapsed="false">
      <c r="A26" s="28" t="s">
        <v>369</v>
      </c>
      <c r="B26" s="30" t="n">
        <f aca="false">B19-B25</f>
        <v>-780000</v>
      </c>
      <c r="C26" s="30" t="n">
        <f aca="false">C19-C25</f>
        <v>-1404000</v>
      </c>
      <c r="D26" s="30" t="n">
        <f aca="false">D19-D25</f>
        <v>-4212000</v>
      </c>
      <c r="E26" s="30" t="n">
        <f aca="false">E19-E25</f>
        <v>-9477000</v>
      </c>
      <c r="F26" s="30" t="n">
        <f aca="false">F19-F25</f>
        <v>-21323250</v>
      </c>
    </row>
    <row r="29" customFormat="false" ht="15" hidden="false" customHeight="false" outlineLevel="0" collapsed="false">
      <c r="A29" s="34" t="s">
        <v>370</v>
      </c>
      <c r="B29" s="32"/>
    </row>
    <row r="30" customFormat="false" ht="15" hidden="false" customHeight="false" outlineLevel="0" collapsed="false">
      <c r="A30" s="32" t="s">
        <v>371</v>
      </c>
      <c r="B30" s="35" t="n">
        <f aca="false">SUM(B26:F26)</f>
        <v>-37196250</v>
      </c>
    </row>
    <row r="31" customFormat="false" ht="15" hidden="false" customHeight="false" outlineLevel="0" collapsed="false">
      <c r="A31" s="32" t="s">
        <v>372</v>
      </c>
      <c r="B31" s="36" t="n">
        <v>28300000</v>
      </c>
    </row>
    <row r="32" customFormat="false" ht="15" hidden="false" customHeight="false" outlineLevel="0" collapsed="false">
      <c r="A32" s="32" t="s">
        <v>373</v>
      </c>
      <c r="B32" s="37" t="n">
        <f aca="false">ABS(B30)-B31</f>
        <v>8896250</v>
      </c>
    </row>
  </sheetData>
  <mergeCells count="3">
    <mergeCell ref="A1:J1"/>
    <mergeCell ref="A2:J2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false" outlineLevel="0" max="8" min="8" style="0" width="22"/>
  </cols>
  <sheetData>
    <row r="1" customFormat="false" ht="19.7" hidden="false" customHeight="false" outlineLevel="0" collapsed="false">
      <c r="A1" s="1" t="s">
        <v>374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375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8" t="s">
        <v>376</v>
      </c>
      <c r="B4" s="8" t="s">
        <v>377</v>
      </c>
      <c r="C4" s="8" t="s">
        <v>378</v>
      </c>
      <c r="D4" s="8" t="s">
        <v>379</v>
      </c>
      <c r="E4" s="8" t="s">
        <v>380</v>
      </c>
      <c r="F4" s="8" t="s">
        <v>381</v>
      </c>
      <c r="G4" s="8" t="s">
        <v>382</v>
      </c>
      <c r="H4" s="8" t="s">
        <v>383</v>
      </c>
    </row>
    <row r="5" customFormat="false" ht="15" hidden="false" customHeight="false" outlineLevel="0" collapsed="false">
      <c r="A5" s="5" t="n">
        <v>0</v>
      </c>
      <c r="B5" s="38" t="s">
        <v>384</v>
      </c>
      <c r="C5" s="5" t="s">
        <v>385</v>
      </c>
      <c r="D5" s="39" t="n">
        <v>8</v>
      </c>
      <c r="E5" s="40" t="n">
        <f aca="false">D5</f>
        <v>8</v>
      </c>
      <c r="F5" s="41" t="n">
        <v>180000</v>
      </c>
      <c r="G5" s="42" t="n">
        <f aca="false">F5*3</f>
        <v>540000</v>
      </c>
      <c r="H5" s="42" t="n">
        <f aca="false">G5*1.2</f>
        <v>648000</v>
      </c>
    </row>
    <row r="6" customFormat="false" ht="15" hidden="false" customHeight="false" outlineLevel="0" collapsed="false">
      <c r="A6" s="6" t="n">
        <v>3</v>
      </c>
      <c r="B6" s="43" t="s">
        <v>386</v>
      </c>
      <c r="C6" s="6" t="s">
        <v>387</v>
      </c>
      <c r="D6" s="39" t="n">
        <v>12</v>
      </c>
      <c r="E6" s="44" t="n">
        <f aca="false">D6</f>
        <v>12</v>
      </c>
      <c r="F6" s="41" t="n">
        <v>260000</v>
      </c>
      <c r="G6" s="45" t="n">
        <f aca="false">G5+AVERAGE(F5,F6)*3</f>
        <v>1200000</v>
      </c>
      <c r="H6" s="45" t="n">
        <f aca="false">G6*1.2</f>
        <v>1440000</v>
      </c>
    </row>
    <row r="7" customFormat="false" ht="15" hidden="false" customHeight="false" outlineLevel="0" collapsed="false">
      <c r="A7" s="5" t="n">
        <v>6</v>
      </c>
      <c r="B7" s="38" t="s">
        <v>388</v>
      </c>
      <c r="C7" s="5" t="s">
        <v>389</v>
      </c>
      <c r="D7" s="39" t="n">
        <v>16</v>
      </c>
      <c r="E7" s="40" t="n">
        <f aca="false">D7</f>
        <v>16</v>
      </c>
      <c r="F7" s="41" t="n">
        <v>360000</v>
      </c>
      <c r="G7" s="42" t="n">
        <f aca="false">G6+AVERAGE(F6,F7)*3</f>
        <v>2130000</v>
      </c>
      <c r="H7" s="42" t="n">
        <f aca="false">G7*1.2</f>
        <v>2556000</v>
      </c>
    </row>
    <row r="8" customFormat="false" ht="15" hidden="false" customHeight="false" outlineLevel="0" collapsed="false">
      <c r="A8" s="6" t="n">
        <v>9</v>
      </c>
      <c r="B8" s="43" t="s">
        <v>390</v>
      </c>
      <c r="C8" s="6" t="s">
        <v>391</v>
      </c>
      <c r="D8" s="39" t="n">
        <v>22</v>
      </c>
      <c r="E8" s="44" t="n">
        <f aca="false">D8</f>
        <v>22</v>
      </c>
      <c r="F8" s="41" t="n">
        <v>480000</v>
      </c>
      <c r="G8" s="45" t="n">
        <f aca="false">G7+AVERAGE(F7,F8)*3</f>
        <v>3390000</v>
      </c>
      <c r="H8" s="45" t="n">
        <f aca="false">G8*1.2</f>
        <v>4068000</v>
      </c>
    </row>
    <row r="9" customFormat="false" ht="15" hidden="false" customHeight="false" outlineLevel="0" collapsed="false">
      <c r="A9" s="5" t="n">
        <v>12</v>
      </c>
      <c r="B9" s="38" t="s">
        <v>392</v>
      </c>
      <c r="C9" s="5" t="s">
        <v>393</v>
      </c>
      <c r="D9" s="39" t="n">
        <v>30</v>
      </c>
      <c r="E9" s="40" t="n">
        <f aca="false">D9</f>
        <v>30</v>
      </c>
      <c r="F9" s="41" t="n">
        <v>640000</v>
      </c>
      <c r="G9" s="42" t="n">
        <f aca="false">G8+AVERAGE(F8,F9)*3</f>
        <v>5070000</v>
      </c>
      <c r="H9" s="42" t="n">
        <f aca="false">G9*1.2</f>
        <v>6084000</v>
      </c>
    </row>
    <row r="10" customFormat="false" ht="15" hidden="false" customHeight="false" outlineLevel="0" collapsed="false">
      <c r="A10" s="6" t="n">
        <v>15</v>
      </c>
      <c r="B10" s="43" t="s">
        <v>394</v>
      </c>
      <c r="C10" s="6" t="s">
        <v>395</v>
      </c>
      <c r="D10" s="39" t="n">
        <v>38</v>
      </c>
      <c r="E10" s="44" t="n">
        <f aca="false">D10</f>
        <v>38</v>
      </c>
      <c r="F10" s="41" t="n">
        <v>800000</v>
      </c>
      <c r="G10" s="45" t="n">
        <f aca="false">G9+AVERAGE(F9,F10)*3</f>
        <v>7230000</v>
      </c>
      <c r="H10" s="45" t="n">
        <f aca="false">G10*1.2</f>
        <v>8676000</v>
      </c>
    </row>
    <row r="11" customFormat="false" ht="15" hidden="false" customHeight="false" outlineLevel="0" collapsed="false">
      <c r="A11" s="5" t="n">
        <v>18</v>
      </c>
      <c r="B11" s="38" t="s">
        <v>396</v>
      </c>
      <c r="C11" s="5" t="s">
        <v>397</v>
      </c>
      <c r="D11" s="39" t="n">
        <v>45</v>
      </c>
      <c r="E11" s="40" t="n">
        <f aca="false">D11</f>
        <v>45</v>
      </c>
      <c r="F11" s="41" t="n">
        <v>940000</v>
      </c>
      <c r="G11" s="42" t="n">
        <f aca="false">G10+AVERAGE(F10,F11)*3</f>
        <v>9840000</v>
      </c>
      <c r="H11" s="42" t="n">
        <f aca="false">G11*1.2</f>
        <v>11808000</v>
      </c>
    </row>
    <row r="12" customFormat="false" ht="15" hidden="false" customHeight="false" outlineLevel="0" collapsed="false">
      <c r="C12" s="16" t="s">
        <v>398</v>
      </c>
      <c r="H12" s="19" t="n">
        <f aca="false">H11</f>
        <v>11808000</v>
      </c>
    </row>
    <row r="15" customFormat="false" ht="15" hidden="false" customHeight="false" outlineLevel="0" collapsed="false">
      <c r="A15" s="3" t="s">
        <v>399</v>
      </c>
    </row>
    <row r="16" customFormat="false" ht="15" hidden="false" customHeight="false" outlineLevel="0" collapsed="false">
      <c r="A16" s="4" t="s">
        <v>171</v>
      </c>
      <c r="B16" s="4" t="s">
        <v>376</v>
      </c>
      <c r="C16" s="4" t="s">
        <v>173</v>
      </c>
      <c r="D16" s="4" t="s">
        <v>35</v>
      </c>
    </row>
    <row r="17" customFormat="false" ht="35.05" hidden="false" customHeight="false" outlineLevel="0" collapsed="false">
      <c r="A17" s="5" t="s">
        <v>400</v>
      </c>
      <c r="B17" s="5" t="n">
        <v>0</v>
      </c>
      <c r="C17" s="9" t="n">
        <v>2500000</v>
      </c>
      <c r="D17" s="5" t="s">
        <v>401</v>
      </c>
    </row>
    <row r="18" customFormat="false" ht="46.25" hidden="false" customHeight="false" outlineLevel="0" collapsed="false">
      <c r="A18" s="6" t="s">
        <v>178</v>
      </c>
      <c r="B18" s="6" t="n">
        <v>6</v>
      </c>
      <c r="C18" s="7" t="n">
        <v>6500000</v>
      </c>
      <c r="D18" s="6" t="s">
        <v>402</v>
      </c>
    </row>
    <row r="19" customFormat="false" ht="46.25" hidden="false" customHeight="false" outlineLevel="0" collapsed="false">
      <c r="A19" s="5" t="s">
        <v>182</v>
      </c>
      <c r="B19" s="5" t="n">
        <v>18</v>
      </c>
      <c r="C19" s="9" t="n">
        <v>25000000</v>
      </c>
      <c r="D19" s="5" t="s">
        <v>403</v>
      </c>
    </row>
    <row r="20" customFormat="false" ht="35.05" hidden="false" customHeight="false" outlineLevel="0" collapsed="false">
      <c r="A20" s="6" t="s">
        <v>190</v>
      </c>
      <c r="B20" s="6" t="n">
        <v>36</v>
      </c>
      <c r="C20" s="7" t="n">
        <v>45000000</v>
      </c>
      <c r="D20" s="6" t="s">
        <v>404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405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406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8" t="s">
        <v>407</v>
      </c>
      <c r="B4" s="8" t="s">
        <v>408</v>
      </c>
      <c r="C4" s="8" t="s">
        <v>409</v>
      </c>
      <c r="D4" s="8" t="s">
        <v>410</v>
      </c>
      <c r="E4" s="8" t="s">
        <v>411</v>
      </c>
      <c r="F4" s="8" t="s">
        <v>412</v>
      </c>
    </row>
    <row r="5" customFormat="false" ht="15" hidden="false" customHeight="false" outlineLevel="0" collapsed="false">
      <c r="A5" s="46" t="s">
        <v>413</v>
      </c>
      <c r="B5" s="47" t="n">
        <v>2.5</v>
      </c>
      <c r="C5" s="5" t="n">
        <v>9</v>
      </c>
      <c r="D5" s="5" t="n">
        <v>12</v>
      </c>
      <c r="E5" s="48" t="n">
        <v>15</v>
      </c>
      <c r="F5" s="49" t="n">
        <f aca="false">ROUND((B5*C5*10)/(D5*E5^0.5),2)</f>
        <v>4.84</v>
      </c>
    </row>
    <row r="6" customFormat="false" ht="15" hidden="false" customHeight="false" outlineLevel="0" collapsed="false">
      <c r="A6" s="50" t="s">
        <v>414</v>
      </c>
      <c r="B6" s="51" t="n">
        <v>2</v>
      </c>
      <c r="C6" s="6" t="n">
        <v>8</v>
      </c>
      <c r="D6" s="6" t="n">
        <v>14</v>
      </c>
      <c r="E6" s="52" t="n">
        <v>18</v>
      </c>
      <c r="F6" s="53" t="n">
        <f aca="false">ROUND((B6*C6*10)/(D6*E6^0.5),2)</f>
        <v>2.69</v>
      </c>
    </row>
    <row r="7" customFormat="false" ht="15" hidden="false" customHeight="false" outlineLevel="0" collapsed="false">
      <c r="A7" s="46" t="s">
        <v>415</v>
      </c>
      <c r="B7" s="47" t="n">
        <v>1.5</v>
      </c>
      <c r="C7" s="5" t="n">
        <v>8</v>
      </c>
      <c r="D7" s="5" t="n">
        <v>9</v>
      </c>
      <c r="E7" s="48" t="n">
        <v>10</v>
      </c>
      <c r="F7" s="49" t="n">
        <f aca="false">ROUND((B7*C7*10)/(D7*E7^0.5),2)</f>
        <v>4.22</v>
      </c>
    </row>
    <row r="8" customFormat="false" ht="15" hidden="false" customHeight="false" outlineLevel="0" collapsed="false">
      <c r="A8" s="50" t="s">
        <v>416</v>
      </c>
      <c r="B8" s="51" t="n">
        <v>2.5</v>
      </c>
      <c r="C8" s="6" t="n">
        <v>8</v>
      </c>
      <c r="D8" s="6" t="n">
        <v>12</v>
      </c>
      <c r="E8" s="52" t="n">
        <v>14</v>
      </c>
      <c r="F8" s="53" t="n">
        <f aca="false">ROUND((B8*C8*10)/(D8*E8^0.5),2)</f>
        <v>4.45</v>
      </c>
    </row>
    <row r="9" customFormat="false" ht="15" hidden="false" customHeight="false" outlineLevel="0" collapsed="false">
      <c r="A9" s="46" t="s">
        <v>417</v>
      </c>
      <c r="B9" s="47" t="n">
        <v>3</v>
      </c>
      <c r="C9" s="5" t="n">
        <v>7</v>
      </c>
      <c r="D9" s="5" t="n">
        <v>15</v>
      </c>
      <c r="E9" s="48" t="n">
        <v>22</v>
      </c>
      <c r="F9" s="49" t="n">
        <f aca="false">ROUND((B9*C9*10)/(D9*E9^0.5),2)</f>
        <v>2.98</v>
      </c>
    </row>
    <row r="10" customFormat="false" ht="15" hidden="false" customHeight="false" outlineLevel="0" collapsed="false">
      <c r="A10" s="50" t="s">
        <v>418</v>
      </c>
      <c r="B10" s="51" t="n">
        <v>2.5</v>
      </c>
      <c r="C10" s="6" t="n">
        <v>7</v>
      </c>
      <c r="D10" s="6" t="n">
        <v>15</v>
      </c>
      <c r="E10" s="52" t="n">
        <v>22</v>
      </c>
      <c r="F10" s="53" t="n">
        <f aca="false">ROUND((B10*C10*10)/(D10*E10^0.5),2)</f>
        <v>2.49</v>
      </c>
    </row>
    <row r="11" customFormat="false" ht="15" hidden="false" customHeight="false" outlineLevel="0" collapsed="false">
      <c r="A11" s="46" t="s">
        <v>419</v>
      </c>
      <c r="B11" s="47" t="n">
        <v>1.5</v>
      </c>
      <c r="C11" s="5" t="n">
        <v>6</v>
      </c>
      <c r="D11" s="5" t="n">
        <v>24</v>
      </c>
      <c r="E11" s="48" t="n">
        <v>30</v>
      </c>
      <c r="F11" s="49" t="n">
        <f aca="false">ROUND((B11*C11*10)/(D11*E11^0.5),2)</f>
        <v>0.68</v>
      </c>
    </row>
    <row r="12" customFormat="false" ht="15" hidden="false" customHeight="false" outlineLevel="0" collapsed="false">
      <c r="A12" s="50" t="s">
        <v>420</v>
      </c>
      <c r="B12" s="51" t="n">
        <v>2</v>
      </c>
      <c r="C12" s="6" t="n">
        <v>8</v>
      </c>
      <c r="D12" s="6" t="n">
        <v>12</v>
      </c>
      <c r="E12" s="52" t="n">
        <v>16</v>
      </c>
      <c r="F12" s="53" t="n">
        <f aca="false">ROUND((B12*C12*10)/(D12*E12^0.5),2)</f>
        <v>3.33</v>
      </c>
    </row>
    <row r="13" customFormat="false" ht="15" hidden="false" customHeight="false" outlineLevel="0" collapsed="false">
      <c r="A13" s="46" t="s">
        <v>421</v>
      </c>
      <c r="B13" s="47" t="n">
        <v>5</v>
      </c>
      <c r="C13" s="5" t="n">
        <v>3</v>
      </c>
      <c r="D13" s="5" t="n">
        <v>20</v>
      </c>
      <c r="E13" s="48" t="n">
        <v>50</v>
      </c>
      <c r="F13" s="49" t="n">
        <f aca="false">ROUND((B13*C13*10)/(D13*E13^0.5),2)</f>
        <v>1.06</v>
      </c>
    </row>
    <row r="14" customFormat="false" ht="15" hidden="false" customHeight="false" outlineLevel="0" collapsed="false">
      <c r="A14" s="50" t="s">
        <v>422</v>
      </c>
      <c r="B14" s="51" t="n">
        <v>1.5</v>
      </c>
      <c r="C14" s="6" t="n">
        <v>7</v>
      </c>
      <c r="D14" s="6" t="n">
        <v>14</v>
      </c>
      <c r="E14" s="52" t="n">
        <v>16</v>
      </c>
      <c r="F14" s="53" t="n">
        <f aca="false">ROUND((B14*C14*10)/(D14*E14^0.5),2)</f>
        <v>1.88</v>
      </c>
    </row>
    <row r="17" customFormat="false" ht="15" hidden="false" customHeight="false" outlineLevel="0" collapsed="false">
      <c r="A17" s="54" t="s">
        <v>423</v>
      </c>
      <c r="B17" s="54"/>
      <c r="C17" s="54"/>
      <c r="D17" s="54"/>
      <c r="E17" s="54"/>
      <c r="F17" s="54"/>
    </row>
  </sheetData>
  <mergeCells count="3">
    <mergeCell ref="A1:J1"/>
    <mergeCell ref="A2:J2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48"/>
  </cols>
  <sheetData>
    <row r="1" customFormat="false" ht="19.7" hidden="false" customHeight="false" outlineLevel="0" collapsed="false">
      <c r="A1" s="1" t="s">
        <v>424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425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8" t="s">
        <v>426</v>
      </c>
      <c r="B4" s="8" t="s">
        <v>261</v>
      </c>
      <c r="C4" s="8" t="s">
        <v>427</v>
      </c>
    </row>
    <row r="5" customFormat="false" ht="15" hidden="false" customHeight="false" outlineLevel="0" collapsed="false">
      <c r="A5" s="5" t="s">
        <v>428</v>
      </c>
      <c r="B5" s="5" t="s">
        <v>429</v>
      </c>
      <c r="C5" s="5" t="s">
        <v>430</v>
      </c>
    </row>
    <row r="6" customFormat="false" ht="15" hidden="false" customHeight="false" outlineLevel="0" collapsed="false">
      <c r="A6" s="6" t="s">
        <v>428</v>
      </c>
      <c r="B6" s="6" t="s">
        <v>431</v>
      </c>
      <c r="C6" s="6" t="s">
        <v>432</v>
      </c>
    </row>
    <row r="7" customFormat="false" ht="15" hidden="false" customHeight="false" outlineLevel="0" collapsed="false">
      <c r="A7" s="5" t="s">
        <v>428</v>
      </c>
      <c r="B7" s="5" t="s">
        <v>433</v>
      </c>
      <c r="C7" s="5" t="s">
        <v>434</v>
      </c>
    </row>
    <row r="8" customFormat="false" ht="15" hidden="false" customHeight="false" outlineLevel="0" collapsed="false">
      <c r="A8" s="6" t="s">
        <v>428</v>
      </c>
      <c r="B8" s="6" t="s">
        <v>435</v>
      </c>
      <c r="C8" s="6" t="s">
        <v>436</v>
      </c>
    </row>
    <row r="9" customFormat="false" ht="15" hidden="false" customHeight="false" outlineLevel="0" collapsed="false">
      <c r="A9" s="5" t="s">
        <v>428</v>
      </c>
      <c r="B9" s="5" t="s">
        <v>437</v>
      </c>
      <c r="C9" s="5" t="s">
        <v>438</v>
      </c>
    </row>
    <row r="10" customFormat="false" ht="15" hidden="false" customHeight="false" outlineLevel="0" collapsed="false">
      <c r="A10" s="6" t="s">
        <v>428</v>
      </c>
      <c r="B10" s="6" t="s">
        <v>439</v>
      </c>
      <c r="C10" s="6" t="s">
        <v>440</v>
      </c>
    </row>
    <row r="11" customFormat="false" ht="15" hidden="false" customHeight="false" outlineLevel="0" collapsed="false">
      <c r="A11" s="5" t="s">
        <v>441</v>
      </c>
      <c r="B11" s="5" t="s">
        <v>442</v>
      </c>
      <c r="C11" s="5" t="s">
        <v>443</v>
      </c>
    </row>
    <row r="12" customFormat="false" ht="15" hidden="false" customHeight="false" outlineLevel="0" collapsed="false">
      <c r="A12" s="6" t="s">
        <v>441</v>
      </c>
      <c r="B12" s="6" t="s">
        <v>444</v>
      </c>
      <c r="C12" s="6" t="s">
        <v>445</v>
      </c>
    </row>
    <row r="13" customFormat="false" ht="15" hidden="false" customHeight="false" outlineLevel="0" collapsed="false">
      <c r="A13" s="5" t="s">
        <v>441</v>
      </c>
      <c r="B13" s="5" t="s">
        <v>446</v>
      </c>
      <c r="C13" s="5" t="s">
        <v>447</v>
      </c>
    </row>
    <row r="14" customFormat="false" ht="15" hidden="false" customHeight="false" outlineLevel="0" collapsed="false">
      <c r="A14" s="6" t="s">
        <v>441</v>
      </c>
      <c r="B14" s="6" t="s">
        <v>448</v>
      </c>
      <c r="C14" s="6" t="s">
        <v>449</v>
      </c>
    </row>
    <row r="15" customFormat="false" ht="15" hidden="false" customHeight="false" outlineLevel="0" collapsed="false">
      <c r="A15" s="5" t="s">
        <v>450</v>
      </c>
      <c r="B15" s="5" t="s">
        <v>451</v>
      </c>
      <c r="C15" s="5" t="s">
        <v>452</v>
      </c>
    </row>
    <row r="16" customFormat="false" ht="15" hidden="false" customHeight="false" outlineLevel="0" collapsed="false">
      <c r="A16" s="6" t="s">
        <v>450</v>
      </c>
      <c r="B16" s="6" t="s">
        <v>453</v>
      </c>
      <c r="C16" s="6" t="s">
        <v>454</v>
      </c>
    </row>
    <row r="17" customFormat="false" ht="15" hidden="false" customHeight="false" outlineLevel="0" collapsed="false">
      <c r="A17" s="5" t="s">
        <v>455</v>
      </c>
      <c r="B17" s="5" t="s">
        <v>456</v>
      </c>
      <c r="C17" s="5" t="s">
        <v>457</v>
      </c>
    </row>
    <row r="18" customFormat="false" ht="15" hidden="false" customHeight="false" outlineLevel="0" collapsed="false">
      <c r="A18" s="6" t="s">
        <v>455</v>
      </c>
      <c r="B18" s="6" t="s">
        <v>458</v>
      </c>
      <c r="C18" s="6" t="s">
        <v>459</v>
      </c>
    </row>
    <row r="19" customFormat="false" ht="15" hidden="false" customHeight="false" outlineLevel="0" collapsed="false">
      <c r="A19" s="5" t="s">
        <v>460</v>
      </c>
      <c r="B19" s="5" t="s">
        <v>461</v>
      </c>
      <c r="C19" s="5" t="s">
        <v>462</v>
      </c>
    </row>
    <row r="20" customFormat="false" ht="15" hidden="false" customHeight="false" outlineLevel="0" collapsed="false">
      <c r="A20" s="6" t="s">
        <v>460</v>
      </c>
      <c r="B20" s="6" t="s">
        <v>463</v>
      </c>
      <c r="C20" s="6" t="s">
        <v>464</v>
      </c>
    </row>
    <row r="21" customFormat="false" ht="15" hidden="false" customHeight="false" outlineLevel="0" collapsed="false">
      <c r="A21" s="5" t="s">
        <v>465</v>
      </c>
      <c r="B21" s="5" t="s">
        <v>466</v>
      </c>
      <c r="C21" s="5" t="s">
        <v>467</v>
      </c>
    </row>
    <row r="22" customFormat="false" ht="15" hidden="false" customHeight="false" outlineLevel="0" collapsed="false">
      <c r="A22" s="6" t="s">
        <v>465</v>
      </c>
      <c r="B22" s="6" t="s">
        <v>468</v>
      </c>
      <c r="C22" s="6" t="s">
        <v>469</v>
      </c>
    </row>
    <row r="23" customFormat="false" ht="23.85" hidden="false" customHeight="false" outlineLevel="0" collapsed="false">
      <c r="A23" s="5" t="s">
        <v>470</v>
      </c>
      <c r="B23" s="5" t="s">
        <v>471</v>
      </c>
      <c r="C23" s="5" t="s">
        <v>472</v>
      </c>
    </row>
    <row r="24" customFormat="false" ht="23.85" hidden="false" customHeight="false" outlineLevel="0" collapsed="false">
      <c r="A24" s="6" t="s">
        <v>470</v>
      </c>
      <c r="B24" s="6" t="s">
        <v>473</v>
      </c>
      <c r="C24" s="6" t="s">
        <v>474</v>
      </c>
    </row>
    <row r="25" customFormat="false" ht="23.85" hidden="false" customHeight="false" outlineLevel="0" collapsed="false">
      <c r="A25" s="5" t="s">
        <v>470</v>
      </c>
      <c r="B25" s="5" t="s">
        <v>475</v>
      </c>
      <c r="C25" s="5" t="s">
        <v>476</v>
      </c>
    </row>
    <row r="26" customFormat="false" ht="23.85" hidden="false" customHeight="false" outlineLevel="0" collapsed="false">
      <c r="A26" s="6" t="s">
        <v>470</v>
      </c>
      <c r="B26" s="6" t="s">
        <v>477</v>
      </c>
      <c r="C26" s="6" t="s">
        <v>478</v>
      </c>
    </row>
    <row r="27" customFormat="false" ht="15" hidden="false" customHeight="false" outlineLevel="0" collapsed="false">
      <c r="A27" s="5" t="s">
        <v>479</v>
      </c>
      <c r="B27" s="5" t="s">
        <v>480</v>
      </c>
      <c r="C27" s="5" t="s">
        <v>481</v>
      </c>
    </row>
    <row r="28" customFormat="false" ht="15" hidden="false" customHeight="false" outlineLevel="0" collapsed="false">
      <c r="A28" s="6" t="s">
        <v>479</v>
      </c>
      <c r="B28" s="6" t="s">
        <v>482</v>
      </c>
      <c r="C28" s="6" t="s">
        <v>483</v>
      </c>
    </row>
    <row r="29" customFormat="false" ht="15" hidden="false" customHeight="false" outlineLevel="0" collapsed="false">
      <c r="A29" s="5" t="s">
        <v>484</v>
      </c>
      <c r="B29" s="5" t="s">
        <v>485</v>
      </c>
      <c r="C29" s="5" t="s">
        <v>486</v>
      </c>
    </row>
    <row r="30" customFormat="false" ht="15" hidden="false" customHeight="false" outlineLevel="0" collapsed="false">
      <c r="A30" s="6" t="s">
        <v>484</v>
      </c>
      <c r="B30" s="6" t="s">
        <v>487</v>
      </c>
      <c r="C30" s="6" t="s">
        <v>488</v>
      </c>
    </row>
    <row r="31" customFormat="false" ht="15" hidden="false" customHeight="false" outlineLevel="0" collapsed="false">
      <c r="A31" s="5" t="s">
        <v>484</v>
      </c>
      <c r="B31" s="5" t="s">
        <v>489</v>
      </c>
      <c r="C31" s="5" t="s">
        <v>490</v>
      </c>
    </row>
    <row r="32" customFormat="false" ht="15" hidden="false" customHeight="false" outlineLevel="0" collapsed="false">
      <c r="A32" s="6" t="s">
        <v>484</v>
      </c>
      <c r="B32" s="6" t="s">
        <v>491</v>
      </c>
      <c r="C32" s="6" t="s">
        <v>492</v>
      </c>
    </row>
    <row r="33" customFormat="false" ht="15" hidden="false" customHeight="false" outlineLevel="0" collapsed="false">
      <c r="A33" s="5" t="s">
        <v>493</v>
      </c>
      <c r="B33" s="5" t="s">
        <v>494</v>
      </c>
      <c r="C33" s="5" t="s">
        <v>495</v>
      </c>
    </row>
    <row r="34" customFormat="false" ht="15" hidden="false" customHeight="false" outlineLevel="0" collapsed="false">
      <c r="A34" s="6" t="s">
        <v>496</v>
      </c>
      <c r="B34" s="6" t="s">
        <v>497</v>
      </c>
      <c r="C34" s="6" t="s">
        <v>498</v>
      </c>
    </row>
    <row r="38" customFormat="false" ht="15" hidden="false" customHeight="false" outlineLevel="0" collapsed="false">
      <c r="A38" s="3" t="s">
        <v>499</v>
      </c>
    </row>
    <row r="39" customFormat="false" ht="15" hidden="false" customHeight="true" outlineLevel="0" collapsed="false">
      <c r="A39" s="55" t="s">
        <v>500</v>
      </c>
      <c r="B39" s="55"/>
      <c r="C39" s="55"/>
    </row>
    <row r="40" customFormat="false" ht="15" hidden="false" customHeight="true" outlineLevel="0" collapsed="false">
      <c r="A40" s="56" t="s">
        <v>501</v>
      </c>
      <c r="B40" s="56"/>
      <c r="C40" s="56"/>
    </row>
    <row r="41" customFormat="false" ht="15" hidden="false" customHeight="true" outlineLevel="0" collapsed="false">
      <c r="A41" s="55" t="s">
        <v>502</v>
      </c>
      <c r="B41" s="55"/>
      <c r="C41" s="55"/>
    </row>
    <row r="42" customFormat="false" ht="15" hidden="false" customHeight="true" outlineLevel="0" collapsed="false">
      <c r="A42" s="56" t="s">
        <v>503</v>
      </c>
      <c r="B42" s="56"/>
      <c r="C42" s="56"/>
    </row>
    <row r="43" customFormat="false" ht="15" hidden="false" customHeight="true" outlineLevel="0" collapsed="false">
      <c r="A43" s="55" t="s">
        <v>504</v>
      </c>
      <c r="B43" s="55"/>
      <c r="C43" s="55"/>
    </row>
    <row r="44" customFormat="false" ht="23.85" hidden="false" customHeight="true" outlineLevel="0" collapsed="false">
      <c r="A44" s="56" t="s">
        <v>505</v>
      </c>
      <c r="B44" s="56"/>
      <c r="C44" s="56"/>
    </row>
  </sheetData>
  <mergeCells count="8">
    <mergeCell ref="A1:J1"/>
    <mergeCell ref="A2:J2"/>
    <mergeCell ref="A39:C39"/>
    <mergeCell ref="A40:C40"/>
    <mergeCell ref="A41:C41"/>
    <mergeCell ref="A42:C42"/>
    <mergeCell ref="A43:C43"/>
    <mergeCell ref="A44:C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2026-04-19T07:53:53Z</dcterms:created>
  <dc:creator>openpyxl</dc:creator>
  <dc:description/>
  <dc:language>en-US</dc:language>
  <cp:lastModifiedBy/>
  <dcterms:modified xsi:type="dcterms:W3CDTF">2026-04-19T07:53:53Z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